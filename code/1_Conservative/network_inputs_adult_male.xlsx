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attsson\Seafile\My Seafile Library\Programs\R\Pintail_subsidies\FinalCodePintails\2_Grassland\"/>
    </mc:Choice>
  </mc:AlternateContent>
  <xr:revisionPtr revIDLastSave="0" documentId="13_ncr:1_{629E0081-D115-4745-B85F-84EE4E2DBBDF}" xr6:coauthVersionLast="47" xr6:coauthVersionMax="47" xr10:uidLastSave="{00000000-0000-0000-0000-000000000000}"/>
  <bookViews>
    <workbookView xWindow="0" yWindow="360" windowWidth="23256" windowHeight="12456" tabRatio="988" activeTab="1" xr2:uid="{00000000-000D-0000-FFFF-FFFF00000000}"/>
  </bookViews>
  <sheets>
    <sheet name="Initial Pop" sheetId="1" r:id="rId1"/>
    <sheet name="Breeding &amp; Fall" sheetId="2" r:id="rId2"/>
    <sheet name="Winter &amp; Spring" sheetId="3" r:id="rId3"/>
    <sheet name="Spring Stopover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2" l="1"/>
  <c r="F29" i="2"/>
  <c r="G28" i="2"/>
  <c r="F28" i="2"/>
  <c r="I27" i="2"/>
  <c r="G27" i="2"/>
  <c r="F27" i="2"/>
  <c r="B4" i="1"/>
  <c r="B3" i="1"/>
  <c r="B2" i="1"/>
  <c r="G21" i="2"/>
  <c r="F21" i="2"/>
  <c r="G20" i="2"/>
  <c r="F20" i="2"/>
  <c r="G19" i="2"/>
  <c r="F19" i="2"/>
  <c r="E12" i="4" l="1"/>
  <c r="C12" i="4"/>
</calcChain>
</file>

<file path=xl/sharedStrings.xml><?xml version="1.0" encoding="utf-8"?>
<sst xmlns="http://schemas.openxmlformats.org/spreadsheetml/2006/main" count="268" uniqueCount="53">
  <si>
    <t>Node</t>
  </si>
  <si>
    <t>N0 - initial population at start of breeding</t>
  </si>
  <si>
    <t>1, AK</t>
  </si>
  <si>
    <t>2, PR</t>
  </si>
  <si>
    <t>3, NU</t>
  </si>
  <si>
    <t>4, CA</t>
  </si>
  <si>
    <t>5, GC</t>
  </si>
  <si>
    <t>Node attributes ALPHA</t>
  </si>
  <si>
    <t>Adult survival</t>
  </si>
  <si>
    <t>Number of Ponds</t>
  </si>
  <si>
    <t>Reproduction</t>
  </si>
  <si>
    <t>Transitions</t>
  </si>
  <si>
    <t>Max Transition</t>
  </si>
  <si>
    <t>Survival</t>
  </si>
  <si>
    <t>Max Survival</t>
  </si>
  <si>
    <t>Min Survival</t>
  </si>
  <si>
    <t>Tell code to stop</t>
  </si>
  <si>
    <t>Variable Names</t>
  </si>
  <si>
    <t>S</t>
  </si>
  <si>
    <t>P</t>
  </si>
  <si>
    <t>Delta_0</t>
  </si>
  <si>
    <t>Delta_1</t>
  </si>
  <si>
    <t>Delta_2</t>
  </si>
  <si>
    <t>psi_max</t>
  </si>
  <si>
    <t>b_0</t>
  </si>
  <si>
    <t>b_1</t>
  </si>
  <si>
    <t>S_max</t>
  </si>
  <si>
    <t>S_min</t>
  </si>
  <si>
    <t>STOP</t>
  </si>
  <si>
    <t>Destination</t>
  </si>
  <si>
    <t>pij</t>
  </si>
  <si>
    <t>AK</t>
  </si>
  <si>
    <t>PR</t>
  </si>
  <si>
    <t>NU</t>
  </si>
  <si>
    <t>CA</t>
  </si>
  <si>
    <t>GC</t>
  </si>
  <si>
    <t>Origin</t>
  </si>
  <si>
    <t>NOTES:</t>
  </si>
  <si>
    <t>sij</t>
  </si>
  <si>
    <t>Hunting Mortality</t>
  </si>
  <si>
    <t>kappa_ij</t>
  </si>
  <si>
    <t>Prob leaving from PR stopover</t>
  </si>
  <si>
    <t>psi_ij</t>
  </si>
  <si>
    <t>x</t>
  </si>
  <si>
    <t>R</t>
  </si>
  <si>
    <t>kill rate</t>
  </si>
  <si>
    <t>target harvest rate</t>
  </si>
  <si>
    <t># Complement of 20% crippling loss</t>
  </si>
  <si>
    <t>k</t>
  </si>
  <si>
    <t>h</t>
  </si>
  <si>
    <t>kill_keep</t>
  </si>
  <si>
    <t>Vam</t>
  </si>
  <si>
    <t>Harvest vulnerability relative to adult 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</si>
</sst>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/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3" fillId="0" borderId="0" xfId="0" applyFont="1" applyAlignment="1">
      <alignment horizontal="center"/>
    </xf>
    <xf numFmtId="0" fontId="1" fillId="0" borderId="0" xfId="0" applyFont="1"/>
    <xf numFmtId="0" fontId="0" fillId="0" borderId="2" xfId="0" applyBorder="1"/>
    <xf numFmtId="0" fontId="0" fillId="0" borderId="5" xfId="0" applyBorder="1" applyAlignment="1">
      <alignment wrapText="1"/>
    </xf>
    <xf numFmtId="0" fontId="3" fillId="0" borderId="5" xfId="0" applyFont="1" applyBorder="1" applyAlignment="1">
      <alignment horizontal="center"/>
    </xf>
    <xf numFmtId="0" fontId="1" fillId="0" borderId="5" xfId="0" applyFont="1" applyBorder="1"/>
    <xf numFmtId="0" fontId="0" fillId="0" borderId="5" xfId="0" applyBorder="1"/>
    <xf numFmtId="0" fontId="1" fillId="0" borderId="5" xfId="0" applyFont="1" applyBorder="1" applyAlignment="1">
      <alignment horizontal="center"/>
    </xf>
    <xf numFmtId="0" fontId="0" fillId="0" borderId="6" xfId="0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wrapText="1"/>
    </xf>
    <xf numFmtId="0" fontId="2" fillId="0" borderId="2" xfId="0" applyFont="1" applyBorder="1"/>
    <xf numFmtId="0" fontId="1" fillId="0" borderId="2" xfId="0" applyFont="1" applyBorder="1"/>
    <xf numFmtId="0" fontId="2" fillId="0" borderId="10" xfId="0" applyFont="1" applyBorder="1" applyAlignment="1">
      <alignment vertical="center" wrapText="1"/>
    </xf>
    <xf numFmtId="0" fontId="1" fillId="0" borderId="6" xfId="0" applyFont="1" applyBorder="1"/>
    <xf numFmtId="0" fontId="0" fillId="0" borderId="7" xfId="0" applyBorder="1" applyAlignment="1">
      <alignment wrapText="1"/>
    </xf>
    <xf numFmtId="0" fontId="0" fillId="0" borderId="7" xfId="0" applyBorder="1"/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/>
    <xf numFmtId="0" fontId="2" fillId="0" borderId="5" xfId="0" applyFont="1" applyBorder="1" applyAlignment="1">
      <alignment vertical="center" wrapText="1"/>
    </xf>
    <xf numFmtId="11" fontId="0" fillId="0" borderId="0" xfId="0" applyNumberFormat="1"/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vertic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273240</xdr:colOff>
      <xdr:row>15</xdr:row>
      <xdr:rowOff>32760</xdr:rowOff>
    </xdr:from>
    <xdr:to>
      <xdr:col>13</xdr:col>
      <xdr:colOff>636480</xdr:colOff>
      <xdr:row>18</xdr:row>
      <xdr:rowOff>34920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515440" y="3061440"/>
          <a:ext cx="1733400" cy="48816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  <xdr:twoCellAnchor editAs="oneCell">
    <xdr:from>
      <xdr:col>11</xdr:col>
      <xdr:colOff>233640</xdr:colOff>
      <xdr:row>10</xdr:row>
      <xdr:rowOff>159120</xdr:rowOff>
    </xdr:from>
    <xdr:to>
      <xdr:col>13</xdr:col>
      <xdr:colOff>587520</xdr:colOff>
      <xdr:row>14</xdr:row>
      <xdr:rowOff>117720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475840" y="2378160"/>
          <a:ext cx="1724040" cy="60624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Note: Kmale = 0.125</a:t>
          </a:r>
          <a:r>
            <a:rPr lang="en-US" sz="1200" strike="noStrike">
              <a:solidFill>
                <a:srgbClr val="000000"/>
              </a:solidFill>
              <a:latin typeface="Calibri"/>
            </a:rPr>
            <a:t> </a:t>
          </a:r>
          <a:r>
            <a:rPr lang="en-US" sz="1100" strike="noStrike">
              <a:solidFill>
                <a:srgbClr val="000000"/>
              </a:solidFill>
              <a:latin typeface="Calibri"/>
            </a:rPr>
            <a:t>kmale_juv=.275</a:t>
          </a:r>
          <a:r>
            <a:rPr lang="en-US" sz="1200" strike="noStrike">
              <a:solidFill>
                <a:srgbClr val="000000"/>
              </a:solidFill>
              <a:latin typeface="Calibri"/>
            </a:rPr>
            <a:t> </a:t>
          </a:r>
          <a:endParaRPr/>
        </a:p>
        <a:p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164160</xdr:colOff>
      <xdr:row>11</xdr:row>
      <xdr:rowOff>15120</xdr:rowOff>
    </xdr:from>
    <xdr:to>
      <xdr:col>13</xdr:col>
      <xdr:colOff>352080</xdr:colOff>
      <xdr:row>14</xdr:row>
      <xdr:rowOff>20880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406360" y="2396160"/>
          <a:ext cx="1558080" cy="4914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104040</xdr:colOff>
      <xdr:row>11</xdr:row>
      <xdr:rowOff>17280</xdr:rowOff>
    </xdr:from>
    <xdr:to>
      <xdr:col>13</xdr:col>
      <xdr:colOff>74520</xdr:colOff>
      <xdr:row>14</xdr:row>
      <xdr:rowOff>20520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346240" y="2398320"/>
          <a:ext cx="1340640" cy="4896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zoomScaleNormal="100" workbookViewId="0">
      <pane xSplit="1" topLeftCell="B1" activePane="topRight" state="frozen"/>
      <selection pane="topRight" activeCell="B2" sqref="B2:B4"/>
    </sheetView>
  </sheetViews>
  <sheetFormatPr defaultRowHeight="13.2" x14ac:dyDescent="0.25"/>
  <cols>
    <col min="1" max="1025" width="14.44140625"/>
  </cols>
  <sheetData>
    <row r="1" spans="1:2" ht="15.75" customHeight="1" x14ac:dyDescent="0.25">
      <c r="A1" t="s">
        <v>0</v>
      </c>
      <c r="B1" t="s">
        <v>1</v>
      </c>
    </row>
    <row r="2" spans="1:2" ht="15.75" customHeight="1" x14ac:dyDescent="0.25">
      <c r="A2" s="1" t="s">
        <v>2</v>
      </c>
      <c r="B2" s="2">
        <f>0.5*0.4052288*4000000</f>
        <v>810457.59999999998</v>
      </c>
    </row>
    <row r="3" spans="1:2" ht="15.75" customHeight="1" x14ac:dyDescent="0.25">
      <c r="A3" s="1" t="s">
        <v>3</v>
      </c>
      <c r="B3">
        <f>0.5*(1-0.4052288)*4000000*45/60</f>
        <v>892156.80000000016</v>
      </c>
    </row>
    <row r="4" spans="1:2" ht="15.75" customHeight="1" x14ac:dyDescent="0.25">
      <c r="A4" s="1" t="s">
        <v>4</v>
      </c>
      <c r="B4">
        <f>0.5*(1-0.4052288)*4000000*(1-45/60)</f>
        <v>297385.60000000003</v>
      </c>
    </row>
    <row r="5" spans="1:2" ht="15.75" customHeight="1" x14ac:dyDescent="0.25">
      <c r="A5" s="1" t="s">
        <v>5</v>
      </c>
      <c r="B5">
        <v>0</v>
      </c>
    </row>
    <row r="6" spans="1:2" ht="15.75" customHeight="1" x14ac:dyDescent="0.25">
      <c r="A6" s="1" t="s">
        <v>6</v>
      </c>
      <c r="B6">
        <v>0</v>
      </c>
    </row>
    <row r="12" spans="1:2" x14ac:dyDescent="0.25">
      <c r="B12" s="2"/>
    </row>
    <row r="13" spans="1:2" x14ac:dyDescent="0.25">
      <c r="B13" s="38"/>
    </row>
    <row r="14" spans="1:2" x14ac:dyDescent="0.25">
      <c r="B14" s="38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2"/>
  <sheetViews>
    <sheetView tabSelected="1" topLeftCell="A12" zoomScaleNormal="100" workbookViewId="0">
      <selection activeCell="K25" sqref="K25"/>
    </sheetView>
  </sheetViews>
  <sheetFormatPr defaultRowHeight="13.2" x14ac:dyDescent="0.25"/>
  <cols>
    <col min="1" max="1" width="19.6640625" style="3"/>
    <col min="2" max="16" width="9.6640625"/>
    <col min="17" max="1025" width="9.77734375"/>
  </cols>
  <sheetData>
    <row r="1" spans="1:17" s="3" customFormat="1" ht="60" customHeight="1" x14ac:dyDescent="0.25">
      <c r="A1" s="4" t="s">
        <v>7</v>
      </c>
      <c r="C1" s="5" t="s">
        <v>8</v>
      </c>
      <c r="D1" s="6" t="s">
        <v>9</v>
      </c>
      <c r="E1" s="6" t="s">
        <v>10</v>
      </c>
      <c r="F1" s="41" t="s">
        <v>11</v>
      </c>
      <c r="G1" s="41"/>
      <c r="H1" s="41"/>
      <c r="I1" s="7" t="s">
        <v>12</v>
      </c>
      <c r="J1" s="41" t="s">
        <v>13</v>
      </c>
      <c r="K1" s="41"/>
      <c r="L1" s="7" t="s">
        <v>14</v>
      </c>
      <c r="M1" s="8" t="s">
        <v>15</v>
      </c>
      <c r="N1" s="3" t="s">
        <v>16</v>
      </c>
    </row>
    <row r="2" spans="1:17" x14ac:dyDescent="0.25">
      <c r="A2" s="9" t="s">
        <v>17</v>
      </c>
      <c r="C2" s="10" t="s">
        <v>18</v>
      </c>
      <c r="D2" s="11" t="s">
        <v>19</v>
      </c>
      <c r="E2" s="10" t="s">
        <v>44</v>
      </c>
      <c r="F2" s="10" t="s">
        <v>20</v>
      </c>
      <c r="G2" s="10" t="s">
        <v>21</v>
      </c>
      <c r="H2" s="10" t="s">
        <v>22</v>
      </c>
      <c r="I2" s="12" t="s">
        <v>23</v>
      </c>
      <c r="J2" s="10" t="s">
        <v>24</v>
      </c>
      <c r="K2" s="10" t="s">
        <v>25</v>
      </c>
      <c r="L2" s="12" t="s">
        <v>26</v>
      </c>
      <c r="M2" s="13" t="s">
        <v>27</v>
      </c>
      <c r="N2" s="9" t="s">
        <v>28</v>
      </c>
      <c r="O2" s="9"/>
      <c r="P2" s="9"/>
      <c r="Q2" s="9"/>
    </row>
    <row r="3" spans="1:17" x14ac:dyDescent="0.25">
      <c r="B3" s="14" t="s">
        <v>2</v>
      </c>
      <c r="C3" s="15">
        <v>0.98</v>
      </c>
      <c r="D3">
        <v>0</v>
      </c>
      <c r="E3" s="1">
        <v>0</v>
      </c>
      <c r="F3" s="1">
        <v>-1000000</v>
      </c>
      <c r="G3" s="1">
        <v>-1000000</v>
      </c>
      <c r="H3" s="1">
        <v>-1000000</v>
      </c>
      <c r="I3">
        <v>0</v>
      </c>
      <c r="J3" s="1">
        <v>-1000000</v>
      </c>
      <c r="K3" s="1">
        <v>-1000000</v>
      </c>
      <c r="L3">
        <v>0</v>
      </c>
      <c r="M3" s="16">
        <v>0</v>
      </c>
    </row>
    <row r="4" spans="1:17" x14ac:dyDescent="0.25">
      <c r="B4" s="14" t="s">
        <v>3</v>
      </c>
      <c r="C4" s="15">
        <v>0.96</v>
      </c>
      <c r="D4">
        <v>3.2</v>
      </c>
      <c r="E4" s="1">
        <v>0</v>
      </c>
      <c r="F4" s="1">
        <v>-1000000</v>
      </c>
      <c r="G4" s="1">
        <v>-1000000</v>
      </c>
      <c r="H4" s="1">
        <v>-1000000</v>
      </c>
      <c r="I4">
        <v>0</v>
      </c>
      <c r="J4" s="1">
        <v>-1000000</v>
      </c>
      <c r="K4" s="1">
        <v>-1000000</v>
      </c>
      <c r="L4">
        <v>0</v>
      </c>
      <c r="M4" s="16">
        <v>0</v>
      </c>
    </row>
    <row r="5" spans="1:17" x14ac:dyDescent="0.25">
      <c r="B5" s="14" t="s">
        <v>4</v>
      </c>
      <c r="C5" s="15">
        <v>0.98</v>
      </c>
      <c r="D5">
        <v>0</v>
      </c>
      <c r="E5" s="1">
        <v>0</v>
      </c>
      <c r="F5" s="1">
        <v>-1000000</v>
      </c>
      <c r="G5" s="1">
        <v>-1000000</v>
      </c>
      <c r="H5" s="1">
        <v>-1000000</v>
      </c>
      <c r="I5">
        <v>0</v>
      </c>
      <c r="J5" s="1">
        <v>-1000000</v>
      </c>
      <c r="K5" s="1">
        <v>-1000000</v>
      </c>
      <c r="L5">
        <v>0</v>
      </c>
      <c r="M5" s="16">
        <v>0</v>
      </c>
    </row>
    <row r="6" spans="1:17" x14ac:dyDescent="0.25">
      <c r="B6" s="14" t="s">
        <v>5</v>
      </c>
      <c r="C6" s="15">
        <v>0</v>
      </c>
      <c r="D6">
        <v>0</v>
      </c>
      <c r="E6" s="1">
        <v>0</v>
      </c>
      <c r="F6" s="1">
        <v>-1000000</v>
      </c>
      <c r="G6" s="1">
        <v>-1000000</v>
      </c>
      <c r="H6" s="1">
        <v>-1000000</v>
      </c>
      <c r="I6">
        <v>0</v>
      </c>
      <c r="J6" s="1">
        <v>-1000000</v>
      </c>
      <c r="K6" s="1">
        <v>-1000000</v>
      </c>
      <c r="L6">
        <v>0</v>
      </c>
      <c r="M6" s="16">
        <v>0</v>
      </c>
    </row>
    <row r="7" spans="1:17" x14ac:dyDescent="0.25">
      <c r="A7" s="17"/>
      <c r="B7" s="18" t="s">
        <v>6</v>
      </c>
      <c r="C7" s="19">
        <v>0</v>
      </c>
      <c r="D7" s="20">
        <v>0</v>
      </c>
      <c r="E7" s="21">
        <v>0</v>
      </c>
      <c r="F7" s="21">
        <v>-1000000</v>
      </c>
      <c r="G7" s="21">
        <v>-1000000</v>
      </c>
      <c r="H7" s="21">
        <v>-1000000</v>
      </c>
      <c r="I7" s="20">
        <v>0</v>
      </c>
      <c r="J7" s="21">
        <v>-1000000</v>
      </c>
      <c r="K7" s="21">
        <v>-1000000</v>
      </c>
      <c r="L7" s="20">
        <v>0</v>
      </c>
      <c r="M7" s="22">
        <v>0</v>
      </c>
    </row>
    <row r="9" spans="1:17" x14ac:dyDescent="0.25">
      <c r="A9" s="4"/>
      <c r="B9" s="23"/>
      <c r="C9" s="39" t="s">
        <v>29</v>
      </c>
      <c r="D9" s="39"/>
      <c r="E9" s="39"/>
      <c r="F9" s="39"/>
      <c r="G9" s="24"/>
    </row>
    <row r="10" spans="1:17" x14ac:dyDescent="0.25">
      <c r="A10" s="25" t="s">
        <v>30</v>
      </c>
      <c r="B10" s="9"/>
      <c r="C10" s="9" t="s">
        <v>31</v>
      </c>
      <c r="D10" s="9" t="s">
        <v>32</v>
      </c>
      <c r="E10" s="9" t="s">
        <v>33</v>
      </c>
      <c r="F10" s="9" t="s">
        <v>34</v>
      </c>
      <c r="G10" s="26" t="s">
        <v>35</v>
      </c>
    </row>
    <row r="11" spans="1:17" ht="12.75" customHeight="1" x14ac:dyDescent="0.25">
      <c r="A11" s="40" t="s">
        <v>36</v>
      </c>
      <c r="B11" s="14" t="s">
        <v>31</v>
      </c>
      <c r="C11" s="15">
        <v>0</v>
      </c>
      <c r="D11" s="15">
        <v>0</v>
      </c>
      <c r="E11" s="15">
        <v>0</v>
      </c>
      <c r="F11" s="15">
        <v>0.9</v>
      </c>
      <c r="G11" s="27">
        <v>0.1</v>
      </c>
      <c r="L11" t="s">
        <v>37</v>
      </c>
    </row>
    <row r="12" spans="1:17" x14ac:dyDescent="0.25">
      <c r="A12" s="40"/>
      <c r="B12" s="14" t="s">
        <v>32</v>
      </c>
      <c r="C12" s="15">
        <v>0</v>
      </c>
      <c r="D12" s="15">
        <v>0</v>
      </c>
      <c r="E12" s="15">
        <v>0</v>
      </c>
      <c r="F12" s="15">
        <v>0.5</v>
      </c>
      <c r="G12" s="27">
        <v>0.5</v>
      </c>
    </row>
    <row r="13" spans="1:17" x14ac:dyDescent="0.25">
      <c r="A13" s="40"/>
      <c r="B13" s="14" t="s">
        <v>33</v>
      </c>
      <c r="C13" s="15">
        <v>0</v>
      </c>
      <c r="D13" s="15">
        <v>0</v>
      </c>
      <c r="E13" s="15">
        <v>0</v>
      </c>
      <c r="F13" s="15">
        <v>0.5</v>
      </c>
      <c r="G13" s="27">
        <v>0.5</v>
      </c>
    </row>
    <row r="14" spans="1:17" x14ac:dyDescent="0.25">
      <c r="A14" s="40"/>
      <c r="B14" s="14" t="s">
        <v>34</v>
      </c>
      <c r="C14" s="15">
        <v>0</v>
      </c>
      <c r="D14" s="15">
        <v>0</v>
      </c>
      <c r="E14" s="15">
        <v>0</v>
      </c>
      <c r="F14" s="15">
        <v>0</v>
      </c>
      <c r="G14" s="27">
        <v>0</v>
      </c>
    </row>
    <row r="15" spans="1:17" x14ac:dyDescent="0.25">
      <c r="A15" s="28"/>
      <c r="B15" s="18" t="s">
        <v>35</v>
      </c>
      <c r="C15" s="19">
        <v>0</v>
      </c>
      <c r="D15" s="19">
        <v>0</v>
      </c>
      <c r="E15" s="19">
        <v>0</v>
      </c>
      <c r="F15" s="19">
        <v>0</v>
      </c>
      <c r="G15" s="29">
        <v>0</v>
      </c>
    </row>
    <row r="17" spans="1:12" x14ac:dyDescent="0.25">
      <c r="A17" s="30"/>
      <c r="B17" s="31"/>
      <c r="C17" s="39" t="s">
        <v>29</v>
      </c>
      <c r="D17" s="39"/>
      <c r="E17" s="39"/>
      <c r="F17" s="39"/>
      <c r="G17" s="24"/>
    </row>
    <row r="18" spans="1:12" x14ac:dyDescent="0.25">
      <c r="A18" s="7" t="s">
        <v>38</v>
      </c>
      <c r="B18" s="9"/>
      <c r="C18" s="9" t="s">
        <v>31</v>
      </c>
      <c r="D18" s="9" t="s">
        <v>32</v>
      </c>
      <c r="E18" s="9" t="s">
        <v>33</v>
      </c>
      <c r="F18" s="9" t="s">
        <v>34</v>
      </c>
      <c r="G18" s="26" t="s">
        <v>35</v>
      </c>
      <c r="I18" s="9" t="s">
        <v>43</v>
      </c>
    </row>
    <row r="19" spans="1:12" ht="12.75" customHeight="1" x14ac:dyDescent="0.25">
      <c r="A19" s="42" t="s">
        <v>36</v>
      </c>
      <c r="B19" s="14" t="s">
        <v>31</v>
      </c>
      <c r="C19" s="15">
        <v>0</v>
      </c>
      <c r="D19" s="15">
        <v>0</v>
      </c>
      <c r="E19" s="15">
        <v>0</v>
      </c>
      <c r="F19" s="15">
        <f>0.9-$I$19</f>
        <v>0.94000000000000006</v>
      </c>
      <c r="G19" s="15">
        <f>0.85-$I$19</f>
        <v>0.89</v>
      </c>
      <c r="I19" s="15">
        <v>-0.04</v>
      </c>
    </row>
    <row r="20" spans="1:12" x14ac:dyDescent="0.25">
      <c r="A20" s="42"/>
      <c r="B20" s="14" t="s">
        <v>32</v>
      </c>
      <c r="C20" s="15">
        <v>0</v>
      </c>
      <c r="D20" s="15">
        <v>0</v>
      </c>
      <c r="E20" s="15">
        <v>0</v>
      </c>
      <c r="F20" s="15">
        <f>0.9-$I$19</f>
        <v>0.94000000000000006</v>
      </c>
      <c r="G20" s="15">
        <f>0.9-$I$19</f>
        <v>0.94000000000000006</v>
      </c>
    </row>
    <row r="21" spans="1:12" x14ac:dyDescent="0.25">
      <c r="A21" s="42"/>
      <c r="B21" s="14" t="s">
        <v>33</v>
      </c>
      <c r="C21" s="15">
        <v>0</v>
      </c>
      <c r="D21" s="15">
        <v>0</v>
      </c>
      <c r="E21" s="15">
        <v>0</v>
      </c>
      <c r="F21" s="15">
        <f>0.9-$I$19</f>
        <v>0.94000000000000006</v>
      </c>
      <c r="G21" s="15">
        <f>0.9-$I$19</f>
        <v>0.94000000000000006</v>
      </c>
    </row>
    <row r="22" spans="1:12" x14ac:dyDescent="0.25">
      <c r="A22" s="42"/>
      <c r="B22" s="14" t="s">
        <v>34</v>
      </c>
      <c r="C22" s="15">
        <v>0</v>
      </c>
      <c r="D22" s="15">
        <v>0</v>
      </c>
      <c r="E22" s="15">
        <v>0</v>
      </c>
      <c r="F22" s="15">
        <v>0</v>
      </c>
      <c r="G22" s="27">
        <v>0</v>
      </c>
    </row>
    <row r="23" spans="1:12" x14ac:dyDescent="0.25">
      <c r="A23" s="32"/>
      <c r="B23" s="18" t="s">
        <v>35</v>
      </c>
      <c r="C23" s="19">
        <v>0</v>
      </c>
      <c r="D23" s="19">
        <v>0</v>
      </c>
      <c r="E23" s="19">
        <v>0</v>
      </c>
      <c r="F23" s="19">
        <v>0</v>
      </c>
      <c r="G23" s="29">
        <v>0</v>
      </c>
    </row>
    <row r="25" spans="1:12" x14ac:dyDescent="0.25">
      <c r="A25" s="33" t="s">
        <v>39</v>
      </c>
      <c r="B25" s="31"/>
      <c r="C25" s="39" t="s">
        <v>29</v>
      </c>
      <c r="D25" s="39"/>
      <c r="E25" s="39"/>
      <c r="F25" s="39"/>
      <c r="G25" s="24"/>
      <c r="I25" t="s">
        <v>45</v>
      </c>
      <c r="J25" t="s">
        <v>46</v>
      </c>
      <c r="K25" t="s">
        <v>52</v>
      </c>
      <c r="L25" t="s">
        <v>47</v>
      </c>
    </row>
    <row r="26" spans="1:12" x14ac:dyDescent="0.25">
      <c r="A26" s="7" t="s">
        <v>40</v>
      </c>
      <c r="B26" s="9"/>
      <c r="C26" s="9" t="s">
        <v>31</v>
      </c>
      <c r="D26" s="9" t="s">
        <v>32</v>
      </c>
      <c r="E26" s="9" t="s">
        <v>33</v>
      </c>
      <c r="F26" s="9" t="s">
        <v>34</v>
      </c>
      <c r="G26" s="26" t="s">
        <v>35</v>
      </c>
      <c r="I26" s="9" t="s">
        <v>48</v>
      </c>
      <c r="J26" s="9" t="s">
        <v>49</v>
      </c>
      <c r="K26" s="9" t="s">
        <v>51</v>
      </c>
      <c r="L26" s="44" t="s">
        <v>50</v>
      </c>
    </row>
    <row r="27" spans="1:12" ht="12.75" customHeight="1" x14ac:dyDescent="0.25">
      <c r="A27" s="42" t="s">
        <v>36</v>
      </c>
      <c r="B27" s="14" t="s">
        <v>31</v>
      </c>
      <c r="C27" s="15">
        <v>0</v>
      </c>
      <c r="D27" s="15">
        <v>0</v>
      </c>
      <c r="E27" s="15">
        <v>0</v>
      </c>
      <c r="F27" s="15">
        <f>$K$27*$I$27</f>
        <v>7.8125E-2</v>
      </c>
      <c r="G27" s="15">
        <f>$K$27*$I$27</f>
        <v>7.8125E-2</v>
      </c>
      <c r="I27">
        <f>J27/L27</f>
        <v>6.25E-2</v>
      </c>
      <c r="J27" s="15">
        <v>0.05</v>
      </c>
      <c r="K27" s="15">
        <v>1.25</v>
      </c>
      <c r="L27">
        <v>0.8</v>
      </c>
    </row>
    <row r="28" spans="1:12" x14ac:dyDescent="0.25">
      <c r="A28" s="42"/>
      <c r="B28" s="14" t="s">
        <v>32</v>
      </c>
      <c r="C28" s="15">
        <v>0</v>
      </c>
      <c r="D28" s="15">
        <v>0</v>
      </c>
      <c r="E28" s="15">
        <v>0</v>
      </c>
      <c r="F28" s="15">
        <f t="shared" ref="F28:G29" si="0">$K$27*$I$27</f>
        <v>7.8125E-2</v>
      </c>
      <c r="G28" s="15">
        <f t="shared" si="0"/>
        <v>7.8125E-2</v>
      </c>
    </row>
    <row r="29" spans="1:12" x14ac:dyDescent="0.25">
      <c r="A29" s="42"/>
      <c r="B29" s="14" t="s">
        <v>33</v>
      </c>
      <c r="C29" s="15">
        <v>0</v>
      </c>
      <c r="D29" s="15">
        <v>0</v>
      </c>
      <c r="E29" s="15">
        <v>0</v>
      </c>
      <c r="F29" s="15">
        <f t="shared" si="0"/>
        <v>7.8125E-2</v>
      </c>
      <c r="G29" s="15">
        <f t="shared" si="0"/>
        <v>7.8125E-2</v>
      </c>
    </row>
    <row r="30" spans="1:12" x14ac:dyDescent="0.25">
      <c r="A30" s="42"/>
      <c r="B30" s="14" t="s">
        <v>34</v>
      </c>
      <c r="C30" s="15">
        <v>0</v>
      </c>
      <c r="D30" s="15">
        <v>0</v>
      </c>
      <c r="E30" s="15">
        <v>0</v>
      </c>
      <c r="F30" s="15">
        <v>0</v>
      </c>
      <c r="G30" s="27">
        <v>0</v>
      </c>
    </row>
    <row r="31" spans="1:12" x14ac:dyDescent="0.25">
      <c r="A31" s="32"/>
      <c r="B31" s="18" t="s">
        <v>35</v>
      </c>
      <c r="C31" s="19">
        <v>0</v>
      </c>
      <c r="D31" s="19">
        <v>0</v>
      </c>
      <c r="E31" s="19">
        <v>0</v>
      </c>
      <c r="F31" s="19">
        <v>0</v>
      </c>
      <c r="G31" s="29">
        <v>0</v>
      </c>
    </row>
    <row r="33" spans="1:7" ht="26.4" x14ac:dyDescent="0.25">
      <c r="A33" s="33" t="s">
        <v>41</v>
      </c>
      <c r="B33" s="31"/>
      <c r="C33" s="39" t="s">
        <v>29</v>
      </c>
      <c r="D33" s="39"/>
      <c r="E33" s="39"/>
      <c r="F33" s="39"/>
      <c r="G33" s="24"/>
    </row>
    <row r="34" spans="1:7" x14ac:dyDescent="0.25">
      <c r="A34" s="9" t="s">
        <v>42</v>
      </c>
      <c r="B34" s="9"/>
      <c r="C34" s="9" t="s">
        <v>31</v>
      </c>
      <c r="D34" s="9" t="s">
        <v>32</v>
      </c>
      <c r="E34" s="9" t="s">
        <v>33</v>
      </c>
      <c r="F34" s="9" t="s">
        <v>34</v>
      </c>
      <c r="G34" s="26" t="s">
        <v>35</v>
      </c>
    </row>
    <row r="35" spans="1:7" ht="12.75" customHeight="1" x14ac:dyDescent="0.25">
      <c r="A35" s="42" t="s">
        <v>36</v>
      </c>
      <c r="B35" s="14" t="s">
        <v>31</v>
      </c>
      <c r="C35" s="15">
        <v>0</v>
      </c>
      <c r="D35" s="15">
        <v>0</v>
      </c>
      <c r="E35" s="15">
        <v>0</v>
      </c>
      <c r="F35" s="15">
        <v>0</v>
      </c>
      <c r="G35" s="27">
        <v>0</v>
      </c>
    </row>
    <row r="36" spans="1:7" x14ac:dyDescent="0.25">
      <c r="A36" s="42"/>
      <c r="B36" s="14" t="s">
        <v>32</v>
      </c>
      <c r="C36" s="15">
        <v>0</v>
      </c>
      <c r="D36" s="15">
        <v>0</v>
      </c>
      <c r="E36" s="15">
        <v>0</v>
      </c>
      <c r="F36" s="15">
        <v>0</v>
      </c>
      <c r="G36" s="27">
        <v>0</v>
      </c>
    </row>
    <row r="37" spans="1:7" x14ac:dyDescent="0.25">
      <c r="A37" s="42"/>
      <c r="B37" s="14" t="s">
        <v>33</v>
      </c>
      <c r="C37" s="15">
        <v>0</v>
      </c>
      <c r="D37" s="15">
        <v>0</v>
      </c>
      <c r="E37" s="15">
        <v>0</v>
      </c>
      <c r="F37" s="15">
        <v>0</v>
      </c>
      <c r="G37" s="27">
        <v>0</v>
      </c>
    </row>
    <row r="38" spans="1:7" x14ac:dyDescent="0.25">
      <c r="A38" s="42"/>
      <c r="B38" s="14" t="s">
        <v>34</v>
      </c>
      <c r="C38" s="15">
        <v>0</v>
      </c>
      <c r="D38" s="15">
        <v>0</v>
      </c>
      <c r="E38" s="15">
        <v>0</v>
      </c>
      <c r="F38" s="15">
        <v>0</v>
      </c>
      <c r="G38" s="27">
        <v>0</v>
      </c>
    </row>
    <row r="39" spans="1:7" x14ac:dyDescent="0.25">
      <c r="A39" s="32"/>
      <c r="B39" s="18" t="s">
        <v>35</v>
      </c>
      <c r="C39" s="19">
        <v>0</v>
      </c>
      <c r="D39" s="19">
        <v>0</v>
      </c>
      <c r="E39" s="19">
        <v>0</v>
      </c>
      <c r="F39" s="19">
        <v>0</v>
      </c>
      <c r="G39" s="29">
        <v>0</v>
      </c>
    </row>
    <row r="42" spans="1:7" x14ac:dyDescent="0.25">
      <c r="A42" s="34" t="s">
        <v>28</v>
      </c>
    </row>
  </sheetData>
  <mergeCells count="10">
    <mergeCell ref="C9:F9"/>
    <mergeCell ref="A11:A14"/>
    <mergeCell ref="F1:H1"/>
    <mergeCell ref="J1:K1"/>
    <mergeCell ref="A35:A38"/>
    <mergeCell ref="C17:F17"/>
    <mergeCell ref="A19:A22"/>
    <mergeCell ref="C25:F25"/>
    <mergeCell ref="A27:A30"/>
    <mergeCell ref="C33:F33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2"/>
  <sheetViews>
    <sheetView zoomScaleNormal="100" workbookViewId="0">
      <selection activeCell="J8" sqref="J8"/>
    </sheetView>
  </sheetViews>
  <sheetFormatPr defaultRowHeight="13.2" x14ac:dyDescent="0.25"/>
  <cols>
    <col min="1" max="1" width="19.6640625"/>
    <col min="2" max="1025" width="9.6640625"/>
  </cols>
  <sheetData>
    <row r="1" spans="1:14" s="3" customFormat="1" ht="60" customHeight="1" x14ac:dyDescent="0.25">
      <c r="A1" s="4" t="s">
        <v>7</v>
      </c>
      <c r="C1" s="5" t="s">
        <v>8</v>
      </c>
      <c r="D1" s="6" t="s">
        <v>9</v>
      </c>
      <c r="E1" s="6" t="s">
        <v>10</v>
      </c>
      <c r="F1" s="41" t="s">
        <v>11</v>
      </c>
      <c r="G1" s="41"/>
      <c r="H1" s="41"/>
      <c r="I1" s="7" t="s">
        <v>12</v>
      </c>
      <c r="J1" s="41" t="s">
        <v>13</v>
      </c>
      <c r="K1" s="41"/>
      <c r="L1" s="7" t="s">
        <v>14</v>
      </c>
      <c r="M1" s="8" t="s">
        <v>15</v>
      </c>
      <c r="N1" s="3" t="s">
        <v>16</v>
      </c>
    </row>
    <row r="2" spans="1:14" x14ac:dyDescent="0.25">
      <c r="A2" s="9" t="s">
        <v>17</v>
      </c>
      <c r="C2" s="10" t="s">
        <v>18</v>
      </c>
      <c r="D2" s="11" t="s">
        <v>19</v>
      </c>
      <c r="E2" s="10" t="s">
        <v>44</v>
      </c>
      <c r="F2" s="10" t="s">
        <v>20</v>
      </c>
      <c r="G2" s="10" t="s">
        <v>21</v>
      </c>
      <c r="H2" s="10" t="s">
        <v>22</v>
      </c>
      <c r="I2" s="12" t="s">
        <v>23</v>
      </c>
      <c r="J2" s="10" t="s">
        <v>24</v>
      </c>
      <c r="K2" s="10" t="s">
        <v>25</v>
      </c>
      <c r="L2" s="12" t="s">
        <v>26</v>
      </c>
      <c r="M2" s="13" t="s">
        <v>27</v>
      </c>
      <c r="N2" s="9" t="s">
        <v>28</v>
      </c>
    </row>
    <row r="3" spans="1:14" x14ac:dyDescent="0.25">
      <c r="B3" s="14" t="s">
        <v>2</v>
      </c>
      <c r="C3" s="15">
        <v>0</v>
      </c>
      <c r="D3" s="15">
        <v>0</v>
      </c>
      <c r="E3" s="1">
        <v>0</v>
      </c>
      <c r="F3" s="1">
        <v>-1000000</v>
      </c>
      <c r="G3" s="1">
        <v>-1000000</v>
      </c>
      <c r="H3" s="1">
        <v>-1000000</v>
      </c>
      <c r="I3" s="1">
        <v>0</v>
      </c>
      <c r="J3" s="1">
        <v>-1000000</v>
      </c>
      <c r="K3" s="1">
        <v>-1000000</v>
      </c>
      <c r="L3">
        <v>0</v>
      </c>
      <c r="M3" s="16">
        <v>0</v>
      </c>
    </row>
    <row r="4" spans="1:14" x14ac:dyDescent="0.25">
      <c r="B4" s="14" t="s">
        <v>3</v>
      </c>
      <c r="C4" s="15">
        <v>0</v>
      </c>
      <c r="D4" s="15">
        <v>0</v>
      </c>
      <c r="E4" s="1">
        <v>0</v>
      </c>
      <c r="F4" s="1">
        <v>-1000000</v>
      </c>
      <c r="G4" s="1">
        <v>-1000000</v>
      </c>
      <c r="H4" s="1">
        <v>-1000000</v>
      </c>
      <c r="I4" s="1">
        <v>0</v>
      </c>
      <c r="J4" s="1">
        <v>-1000000</v>
      </c>
      <c r="K4" s="1">
        <v>-1000000</v>
      </c>
      <c r="L4">
        <v>0</v>
      </c>
      <c r="M4" s="16">
        <v>0</v>
      </c>
    </row>
    <row r="5" spans="1:14" x14ac:dyDescent="0.25">
      <c r="B5" s="14" t="s">
        <v>4</v>
      </c>
      <c r="C5" s="15">
        <v>0</v>
      </c>
      <c r="D5" s="15">
        <v>0</v>
      </c>
      <c r="E5" s="1">
        <v>0</v>
      </c>
      <c r="F5" s="1">
        <v>-1000000</v>
      </c>
      <c r="G5" s="1">
        <v>-1000000</v>
      </c>
      <c r="H5" s="1">
        <v>-1000000</v>
      </c>
      <c r="I5" s="1">
        <v>0</v>
      </c>
      <c r="J5" s="1">
        <v>-1000000</v>
      </c>
      <c r="K5" s="1">
        <v>-1000000</v>
      </c>
      <c r="L5">
        <v>0</v>
      </c>
      <c r="M5" s="16">
        <v>0</v>
      </c>
    </row>
    <row r="6" spans="1:14" x14ac:dyDescent="0.25">
      <c r="B6" s="14" t="s">
        <v>5</v>
      </c>
      <c r="C6" s="15">
        <v>0.9</v>
      </c>
      <c r="D6" s="15">
        <v>0</v>
      </c>
      <c r="E6" s="1">
        <v>0</v>
      </c>
      <c r="F6" s="1">
        <v>-1000000</v>
      </c>
      <c r="G6" s="1">
        <v>-1000000</v>
      </c>
      <c r="H6" s="1">
        <v>-1000000</v>
      </c>
      <c r="I6" s="1">
        <v>0</v>
      </c>
      <c r="J6" s="1">
        <v>4</v>
      </c>
      <c r="K6" s="1">
        <v>-1.5E-6</v>
      </c>
      <c r="L6">
        <v>0.96</v>
      </c>
      <c r="M6" s="16">
        <v>0.84</v>
      </c>
    </row>
    <row r="7" spans="1:14" x14ac:dyDescent="0.25">
      <c r="A7" s="20"/>
      <c r="B7" s="18" t="s">
        <v>6</v>
      </c>
      <c r="C7" s="19">
        <v>0.9</v>
      </c>
      <c r="D7" s="19">
        <v>0</v>
      </c>
      <c r="E7" s="21">
        <v>0</v>
      </c>
      <c r="F7" s="21">
        <v>-1000000</v>
      </c>
      <c r="G7" s="21">
        <v>-1000000</v>
      </c>
      <c r="H7" s="21">
        <v>-1000000</v>
      </c>
      <c r="I7" s="21">
        <v>0</v>
      </c>
      <c r="J7" s="21">
        <v>3</v>
      </c>
      <c r="K7" s="21">
        <v>-1.5E-6</v>
      </c>
      <c r="L7" s="20">
        <v>0.96</v>
      </c>
      <c r="M7" s="22">
        <v>0.84</v>
      </c>
    </row>
    <row r="9" spans="1:14" x14ac:dyDescent="0.25">
      <c r="A9" s="31"/>
      <c r="B9" s="31"/>
      <c r="C9" s="39" t="s">
        <v>29</v>
      </c>
      <c r="D9" s="39"/>
      <c r="E9" s="39"/>
      <c r="F9" s="39"/>
      <c r="G9" s="24"/>
    </row>
    <row r="10" spans="1:14" x14ac:dyDescent="0.25">
      <c r="A10" s="9" t="s">
        <v>30</v>
      </c>
      <c r="B10" s="9"/>
      <c r="C10" s="9" t="s">
        <v>31</v>
      </c>
      <c r="D10" s="9" t="s">
        <v>32</v>
      </c>
      <c r="E10" s="9" t="s">
        <v>33</v>
      </c>
      <c r="F10" s="9" t="s">
        <v>34</v>
      </c>
      <c r="G10" s="26" t="s">
        <v>35</v>
      </c>
    </row>
    <row r="11" spans="1:14" x14ac:dyDescent="0.25">
      <c r="A11" s="43" t="s">
        <v>36</v>
      </c>
      <c r="B11" s="14" t="s">
        <v>31</v>
      </c>
      <c r="C11" s="15">
        <v>0</v>
      </c>
      <c r="D11" s="15">
        <v>0</v>
      </c>
      <c r="E11" s="15">
        <v>0</v>
      </c>
      <c r="F11" s="15">
        <v>0</v>
      </c>
      <c r="G11" s="27">
        <v>0</v>
      </c>
      <c r="L11" t="s">
        <v>37</v>
      </c>
    </row>
    <row r="12" spans="1:14" x14ac:dyDescent="0.25">
      <c r="A12" s="43"/>
      <c r="B12" s="14" t="s">
        <v>32</v>
      </c>
      <c r="C12" s="15">
        <v>0</v>
      </c>
      <c r="D12" s="15">
        <v>0</v>
      </c>
      <c r="E12" s="15">
        <v>0</v>
      </c>
      <c r="F12" s="15">
        <v>0</v>
      </c>
      <c r="G12" s="27">
        <v>0</v>
      </c>
    </row>
    <row r="13" spans="1:14" x14ac:dyDescent="0.25">
      <c r="A13" s="43"/>
      <c r="B13" s="14" t="s">
        <v>33</v>
      </c>
      <c r="C13" s="15">
        <v>0</v>
      </c>
      <c r="D13" s="15">
        <v>0</v>
      </c>
      <c r="E13" s="15">
        <v>0</v>
      </c>
      <c r="F13" s="15">
        <v>0</v>
      </c>
      <c r="G13" s="27">
        <v>0</v>
      </c>
    </row>
    <row r="14" spans="1:14" x14ac:dyDescent="0.25">
      <c r="A14" s="43"/>
      <c r="B14" s="14" t="s">
        <v>34</v>
      </c>
      <c r="C14" s="15">
        <v>0.54</v>
      </c>
      <c r="D14" s="15">
        <v>0.46</v>
      </c>
      <c r="E14" s="15">
        <v>0</v>
      </c>
      <c r="F14" s="15">
        <v>0</v>
      </c>
      <c r="G14" s="27">
        <v>0</v>
      </c>
    </row>
    <row r="15" spans="1:14" x14ac:dyDescent="0.25">
      <c r="A15" s="35"/>
      <c r="B15" s="18" t="s">
        <v>35</v>
      </c>
      <c r="C15" s="19">
        <v>0.1</v>
      </c>
      <c r="D15" s="19">
        <v>0.9</v>
      </c>
      <c r="E15" s="19">
        <v>0</v>
      </c>
      <c r="F15" s="19">
        <v>0</v>
      </c>
      <c r="G15" s="29">
        <v>0</v>
      </c>
    </row>
    <row r="16" spans="1:14" x14ac:dyDescent="0.25">
      <c r="A16" s="9"/>
      <c r="B16" s="9"/>
    </row>
    <row r="17" spans="1:7" x14ac:dyDescent="0.25">
      <c r="A17" s="23"/>
      <c r="B17" s="23"/>
      <c r="C17" s="39" t="s">
        <v>29</v>
      </c>
      <c r="D17" s="39"/>
      <c r="E17" s="39"/>
      <c r="F17" s="39"/>
      <c r="G17" s="24"/>
    </row>
    <row r="18" spans="1:7" x14ac:dyDescent="0.25">
      <c r="A18" s="9" t="s">
        <v>38</v>
      </c>
      <c r="B18" s="9"/>
      <c r="C18" s="9" t="s">
        <v>31</v>
      </c>
      <c r="D18" s="9" t="s">
        <v>32</v>
      </c>
      <c r="E18" s="9" t="s">
        <v>33</v>
      </c>
      <c r="F18" s="9" t="s">
        <v>34</v>
      </c>
      <c r="G18" s="26" t="s">
        <v>35</v>
      </c>
    </row>
    <row r="19" spans="1:7" x14ac:dyDescent="0.25">
      <c r="A19" s="43" t="s">
        <v>36</v>
      </c>
      <c r="B19" s="14" t="s">
        <v>31</v>
      </c>
      <c r="C19" s="15">
        <v>1</v>
      </c>
      <c r="D19" s="15">
        <v>1</v>
      </c>
      <c r="E19" s="15">
        <v>1</v>
      </c>
      <c r="F19" s="15">
        <v>1</v>
      </c>
      <c r="G19" s="27">
        <v>1</v>
      </c>
    </row>
    <row r="20" spans="1:7" x14ac:dyDescent="0.25">
      <c r="A20" s="43"/>
      <c r="B20" s="14" t="s">
        <v>32</v>
      </c>
      <c r="C20" s="15">
        <v>1</v>
      </c>
      <c r="D20" s="15">
        <v>1</v>
      </c>
      <c r="E20" s="15">
        <v>1</v>
      </c>
      <c r="F20" s="15">
        <v>1</v>
      </c>
      <c r="G20" s="27">
        <v>1</v>
      </c>
    </row>
    <row r="21" spans="1:7" x14ac:dyDescent="0.25">
      <c r="A21" s="43"/>
      <c r="B21" s="14" t="s">
        <v>33</v>
      </c>
      <c r="C21" s="15">
        <v>1</v>
      </c>
      <c r="D21" s="15">
        <v>1</v>
      </c>
      <c r="E21" s="15">
        <v>1</v>
      </c>
      <c r="F21" s="15">
        <v>1</v>
      </c>
      <c r="G21" s="27">
        <v>1</v>
      </c>
    </row>
    <row r="22" spans="1:7" x14ac:dyDescent="0.25">
      <c r="A22" s="43"/>
      <c r="B22" s="14" t="s">
        <v>34</v>
      </c>
      <c r="C22" s="15">
        <v>1</v>
      </c>
      <c r="D22" s="15">
        <v>1</v>
      </c>
      <c r="E22" s="15">
        <v>1</v>
      </c>
      <c r="F22" s="15">
        <v>1</v>
      </c>
      <c r="G22" s="27">
        <v>1</v>
      </c>
    </row>
    <row r="23" spans="1:7" x14ac:dyDescent="0.25">
      <c r="A23" s="36"/>
      <c r="B23" s="18" t="s">
        <v>35</v>
      </c>
      <c r="C23" s="19">
        <v>1</v>
      </c>
      <c r="D23" s="19">
        <v>1</v>
      </c>
      <c r="E23" s="19">
        <v>1</v>
      </c>
      <c r="F23" s="19">
        <v>1</v>
      </c>
      <c r="G23" s="29">
        <v>1</v>
      </c>
    </row>
    <row r="25" spans="1:7" x14ac:dyDescent="0.25">
      <c r="A25" s="33" t="s">
        <v>39</v>
      </c>
      <c r="B25" s="31"/>
      <c r="C25" s="39" t="s">
        <v>29</v>
      </c>
      <c r="D25" s="39"/>
      <c r="E25" s="39"/>
      <c r="F25" s="39"/>
      <c r="G25" s="24"/>
    </row>
    <row r="26" spans="1:7" x14ac:dyDescent="0.25">
      <c r="A26" s="7" t="s">
        <v>40</v>
      </c>
      <c r="B26" s="9"/>
      <c r="C26" s="9" t="s">
        <v>31</v>
      </c>
      <c r="D26" s="9" t="s">
        <v>32</v>
      </c>
      <c r="E26" s="9" t="s">
        <v>33</v>
      </c>
      <c r="F26" s="9" t="s">
        <v>34</v>
      </c>
      <c r="G26" s="26" t="s">
        <v>35</v>
      </c>
    </row>
    <row r="27" spans="1:7" ht="12.75" customHeight="1" x14ac:dyDescent="0.25">
      <c r="A27" s="42" t="s">
        <v>36</v>
      </c>
      <c r="B27" s="14" t="s">
        <v>31</v>
      </c>
      <c r="C27" s="15">
        <v>0</v>
      </c>
      <c r="D27" s="15">
        <v>0</v>
      </c>
      <c r="E27" s="15">
        <v>0</v>
      </c>
      <c r="F27" s="15">
        <v>0</v>
      </c>
      <c r="G27" s="27">
        <v>0</v>
      </c>
    </row>
    <row r="28" spans="1:7" x14ac:dyDescent="0.25">
      <c r="A28" s="42"/>
      <c r="B28" s="14" t="s">
        <v>32</v>
      </c>
      <c r="C28" s="15">
        <v>0</v>
      </c>
      <c r="D28" s="15">
        <v>0</v>
      </c>
      <c r="E28" s="15">
        <v>0</v>
      </c>
      <c r="F28" s="15">
        <v>0</v>
      </c>
      <c r="G28" s="27">
        <v>0</v>
      </c>
    </row>
    <row r="29" spans="1:7" x14ac:dyDescent="0.25">
      <c r="A29" s="42"/>
      <c r="B29" s="14" t="s">
        <v>33</v>
      </c>
      <c r="C29" s="15">
        <v>0</v>
      </c>
      <c r="D29" s="15">
        <v>0</v>
      </c>
      <c r="E29" s="15">
        <v>0</v>
      </c>
      <c r="F29" s="15">
        <v>0</v>
      </c>
      <c r="G29" s="27">
        <v>0</v>
      </c>
    </row>
    <row r="30" spans="1:7" x14ac:dyDescent="0.25">
      <c r="A30" s="42"/>
      <c r="B30" s="14" t="s">
        <v>34</v>
      </c>
      <c r="C30" s="15">
        <v>0</v>
      </c>
      <c r="D30" s="15">
        <v>0</v>
      </c>
      <c r="E30" s="15">
        <v>0</v>
      </c>
      <c r="F30" s="15">
        <v>0</v>
      </c>
      <c r="G30" s="27">
        <v>0</v>
      </c>
    </row>
    <row r="31" spans="1:7" x14ac:dyDescent="0.25">
      <c r="A31" s="32"/>
      <c r="B31" s="18" t="s">
        <v>35</v>
      </c>
      <c r="C31" s="19">
        <v>0</v>
      </c>
      <c r="D31" s="19">
        <v>0</v>
      </c>
      <c r="E31" s="19">
        <v>0</v>
      </c>
      <c r="F31" s="19">
        <v>0</v>
      </c>
      <c r="G31" s="29">
        <v>0</v>
      </c>
    </row>
    <row r="32" spans="1:7" x14ac:dyDescent="0.25">
      <c r="A32" s="3"/>
    </row>
    <row r="33" spans="1:7" ht="26.4" x14ac:dyDescent="0.25">
      <c r="A33" s="33" t="s">
        <v>41</v>
      </c>
      <c r="B33" s="31"/>
      <c r="C33" s="39" t="s">
        <v>29</v>
      </c>
      <c r="D33" s="39"/>
      <c r="E33" s="39"/>
      <c r="F33" s="39"/>
      <c r="G33" s="24"/>
    </row>
    <row r="34" spans="1:7" x14ac:dyDescent="0.25">
      <c r="A34" s="9" t="s">
        <v>42</v>
      </c>
      <c r="B34" s="9"/>
      <c r="C34" s="9" t="s">
        <v>31</v>
      </c>
      <c r="D34" s="9" t="s">
        <v>32</v>
      </c>
      <c r="E34" s="9" t="s">
        <v>33</v>
      </c>
      <c r="F34" s="9" t="s">
        <v>34</v>
      </c>
      <c r="G34" s="26" t="s">
        <v>35</v>
      </c>
    </row>
    <row r="35" spans="1:7" ht="12.75" customHeight="1" x14ac:dyDescent="0.25">
      <c r="A35" s="42" t="s">
        <v>36</v>
      </c>
      <c r="B35" s="14" t="s">
        <v>31</v>
      </c>
      <c r="C35" s="15">
        <v>0</v>
      </c>
      <c r="D35" s="15">
        <v>0</v>
      </c>
      <c r="E35" s="15">
        <v>0</v>
      </c>
      <c r="F35" s="15">
        <v>0</v>
      </c>
      <c r="G35" s="27">
        <v>0</v>
      </c>
    </row>
    <row r="36" spans="1:7" x14ac:dyDescent="0.25">
      <c r="A36" s="42"/>
      <c r="B36" s="14" t="s">
        <v>32</v>
      </c>
      <c r="C36" s="15">
        <v>0</v>
      </c>
      <c r="D36" s="15">
        <v>0</v>
      </c>
      <c r="E36" s="15">
        <v>0</v>
      </c>
      <c r="F36" s="15">
        <v>0</v>
      </c>
      <c r="G36" s="27">
        <v>0</v>
      </c>
    </row>
    <row r="37" spans="1:7" x14ac:dyDescent="0.25">
      <c r="A37" s="42"/>
      <c r="B37" s="14" t="s">
        <v>33</v>
      </c>
      <c r="C37" s="15">
        <v>0</v>
      </c>
      <c r="D37" s="15">
        <v>0</v>
      </c>
      <c r="E37" s="15">
        <v>0</v>
      </c>
      <c r="F37" s="15">
        <v>0</v>
      </c>
      <c r="G37" s="27">
        <v>0</v>
      </c>
    </row>
    <row r="38" spans="1:7" x14ac:dyDescent="0.25">
      <c r="A38" s="42"/>
      <c r="B38" s="14" t="s">
        <v>34</v>
      </c>
      <c r="C38" s="15">
        <v>0</v>
      </c>
      <c r="D38" s="15">
        <v>0</v>
      </c>
      <c r="E38" s="15">
        <v>0</v>
      </c>
      <c r="F38" s="15">
        <v>0</v>
      </c>
      <c r="G38" s="27">
        <v>0</v>
      </c>
    </row>
    <row r="39" spans="1:7" x14ac:dyDescent="0.25">
      <c r="A39" s="32"/>
      <c r="B39" s="18" t="s">
        <v>35</v>
      </c>
      <c r="C39" s="19">
        <v>0</v>
      </c>
      <c r="D39" s="19">
        <v>0</v>
      </c>
      <c r="E39" s="19">
        <v>0</v>
      </c>
      <c r="F39" s="19">
        <v>0</v>
      </c>
      <c r="G39" s="29">
        <v>0</v>
      </c>
    </row>
    <row r="42" spans="1:7" x14ac:dyDescent="0.25">
      <c r="A42" s="34" t="s">
        <v>28</v>
      </c>
    </row>
  </sheetData>
  <mergeCells count="10">
    <mergeCell ref="F1:H1"/>
    <mergeCell ref="J1:K1"/>
    <mergeCell ref="C9:F9"/>
    <mergeCell ref="A11:A14"/>
    <mergeCell ref="A35:A38"/>
    <mergeCell ref="C17:F17"/>
    <mergeCell ref="A19:A22"/>
    <mergeCell ref="C25:F25"/>
    <mergeCell ref="A27:A30"/>
    <mergeCell ref="C33:F33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2"/>
  <sheetViews>
    <sheetView topLeftCell="A2" zoomScaleNormal="100" workbookViewId="0">
      <selection activeCell="G4" sqref="G4"/>
    </sheetView>
  </sheetViews>
  <sheetFormatPr defaultRowHeight="13.2" x14ac:dyDescent="0.25"/>
  <cols>
    <col min="1" max="1" width="19.6640625" style="3"/>
    <col min="2" max="1025" width="9.6640625"/>
  </cols>
  <sheetData>
    <row r="1" spans="1:16" s="3" customFormat="1" ht="60" customHeight="1" x14ac:dyDescent="0.25">
      <c r="A1" s="4" t="s">
        <v>7</v>
      </c>
      <c r="C1" s="5" t="s">
        <v>8</v>
      </c>
      <c r="D1" s="6" t="s">
        <v>9</v>
      </c>
      <c r="E1" s="6" t="s">
        <v>10</v>
      </c>
      <c r="F1" s="41" t="s">
        <v>11</v>
      </c>
      <c r="G1" s="41"/>
      <c r="H1" s="41"/>
      <c r="I1" s="7" t="s">
        <v>12</v>
      </c>
      <c r="J1" s="41" t="s">
        <v>13</v>
      </c>
      <c r="K1" s="41"/>
      <c r="L1" s="7" t="s">
        <v>14</v>
      </c>
      <c r="M1" s="8" t="s">
        <v>15</v>
      </c>
      <c r="N1" s="3" t="s">
        <v>16</v>
      </c>
    </row>
    <row r="2" spans="1:16" x14ac:dyDescent="0.25">
      <c r="A2" s="9" t="s">
        <v>17</v>
      </c>
      <c r="C2" s="10" t="s">
        <v>18</v>
      </c>
      <c r="D2" s="11" t="s">
        <v>19</v>
      </c>
      <c r="E2" s="10" t="s">
        <v>44</v>
      </c>
      <c r="F2" s="10" t="s">
        <v>20</v>
      </c>
      <c r="G2" s="10" t="s">
        <v>21</v>
      </c>
      <c r="H2" s="10" t="s">
        <v>22</v>
      </c>
      <c r="I2" s="12" t="s">
        <v>23</v>
      </c>
      <c r="J2" s="10" t="s">
        <v>24</v>
      </c>
      <c r="K2" s="10" t="s">
        <v>25</v>
      </c>
      <c r="L2" s="12" t="s">
        <v>26</v>
      </c>
      <c r="M2" s="13" t="s">
        <v>27</v>
      </c>
      <c r="N2" s="9" t="s">
        <v>28</v>
      </c>
      <c r="O2" s="9"/>
      <c r="P2" s="9"/>
    </row>
    <row r="3" spans="1:16" x14ac:dyDescent="0.25">
      <c r="A3"/>
      <c r="B3" s="14" t="s">
        <v>2</v>
      </c>
      <c r="C3" s="15">
        <v>1</v>
      </c>
      <c r="D3">
        <v>0</v>
      </c>
      <c r="E3" s="1">
        <v>0</v>
      </c>
      <c r="F3" s="1">
        <v>-1000000</v>
      </c>
      <c r="G3" s="1">
        <v>-1000000</v>
      </c>
      <c r="H3" s="1">
        <v>-1000000</v>
      </c>
      <c r="I3">
        <v>0</v>
      </c>
      <c r="J3" s="1">
        <v>-1000000</v>
      </c>
      <c r="K3" s="1">
        <v>-1000000</v>
      </c>
      <c r="L3">
        <v>0</v>
      </c>
      <c r="M3" s="16">
        <v>0</v>
      </c>
    </row>
    <row r="4" spans="1:16" x14ac:dyDescent="0.25">
      <c r="A4"/>
      <c r="B4" s="14" t="s">
        <v>3</v>
      </c>
      <c r="C4" s="15">
        <v>1</v>
      </c>
      <c r="D4">
        <v>3.2</v>
      </c>
      <c r="E4" s="1">
        <v>0</v>
      </c>
      <c r="F4" s="1">
        <v>-3</v>
      </c>
      <c r="G4" s="1">
        <v>9.9999999999999995E-7</v>
      </c>
      <c r="H4" s="1">
        <v>0.1</v>
      </c>
      <c r="I4">
        <v>0.7</v>
      </c>
      <c r="J4" s="1">
        <v>-1000000</v>
      </c>
      <c r="K4" s="1">
        <v>-1000000</v>
      </c>
      <c r="L4">
        <v>0</v>
      </c>
      <c r="M4" s="16">
        <v>0</v>
      </c>
    </row>
    <row r="5" spans="1:16" x14ac:dyDescent="0.25">
      <c r="A5"/>
      <c r="B5" s="14" t="s">
        <v>4</v>
      </c>
      <c r="C5" s="15">
        <v>0</v>
      </c>
      <c r="D5">
        <v>0</v>
      </c>
      <c r="E5" s="1">
        <v>0</v>
      </c>
      <c r="F5" s="1">
        <v>-1000000</v>
      </c>
      <c r="G5" s="1">
        <v>-1000000</v>
      </c>
      <c r="H5" s="1">
        <v>-1000000</v>
      </c>
      <c r="I5">
        <v>0</v>
      </c>
      <c r="J5" s="1">
        <v>-1000000</v>
      </c>
      <c r="K5" s="1">
        <v>-1000000</v>
      </c>
      <c r="L5">
        <v>0</v>
      </c>
      <c r="M5" s="16">
        <v>0</v>
      </c>
    </row>
    <row r="6" spans="1:16" x14ac:dyDescent="0.25">
      <c r="A6"/>
      <c r="B6" s="14" t="s">
        <v>5</v>
      </c>
      <c r="C6" s="15">
        <v>0</v>
      </c>
      <c r="D6">
        <v>0</v>
      </c>
      <c r="E6" s="1">
        <v>0</v>
      </c>
      <c r="F6" s="1">
        <v>-1000000</v>
      </c>
      <c r="G6" s="1">
        <v>-1000000</v>
      </c>
      <c r="H6" s="1">
        <v>-1000000</v>
      </c>
      <c r="I6">
        <v>0</v>
      </c>
      <c r="J6" s="1">
        <v>-1000000</v>
      </c>
      <c r="K6" s="1">
        <v>-1000000</v>
      </c>
      <c r="L6">
        <v>0</v>
      </c>
      <c r="M6" s="16">
        <v>0</v>
      </c>
    </row>
    <row r="7" spans="1:16" x14ac:dyDescent="0.25">
      <c r="A7"/>
      <c r="B7" s="18" t="s">
        <v>6</v>
      </c>
      <c r="C7" s="19">
        <v>0</v>
      </c>
      <c r="D7" s="20">
        <v>0</v>
      </c>
      <c r="E7" s="21">
        <v>0</v>
      </c>
      <c r="F7" s="21">
        <v>-1000000</v>
      </c>
      <c r="G7" s="21">
        <v>-1000000</v>
      </c>
      <c r="H7" s="21">
        <v>-1000000</v>
      </c>
      <c r="I7" s="20">
        <v>0</v>
      </c>
      <c r="J7" s="21">
        <v>-1000000</v>
      </c>
      <c r="K7" s="21">
        <v>-1000000</v>
      </c>
      <c r="L7" s="20">
        <v>0</v>
      </c>
      <c r="M7" s="22">
        <v>0</v>
      </c>
    </row>
    <row r="8" spans="1:16" x14ac:dyDescent="0.25">
      <c r="A8"/>
      <c r="E8" s="15"/>
    </row>
    <row r="9" spans="1:16" x14ac:dyDescent="0.25">
      <c r="A9" s="31"/>
      <c r="B9" s="31"/>
      <c r="C9" s="39" t="s">
        <v>29</v>
      </c>
      <c r="D9" s="39"/>
      <c r="E9" s="39"/>
      <c r="F9" s="39"/>
      <c r="G9" s="24"/>
    </row>
    <row r="10" spans="1:16" x14ac:dyDescent="0.25">
      <c r="A10" s="7" t="s">
        <v>30</v>
      </c>
      <c r="B10" s="9"/>
      <c r="C10" s="9" t="s">
        <v>31</v>
      </c>
      <c r="D10" s="9" t="s">
        <v>32</v>
      </c>
      <c r="E10" s="9" t="s">
        <v>33</v>
      </c>
      <c r="F10" s="9" t="s">
        <v>34</v>
      </c>
      <c r="G10" s="26" t="s">
        <v>35</v>
      </c>
    </row>
    <row r="11" spans="1:16" ht="12.75" customHeight="1" x14ac:dyDescent="0.25">
      <c r="A11" s="42" t="s">
        <v>36</v>
      </c>
      <c r="B11" s="14" t="s">
        <v>31</v>
      </c>
      <c r="C11" s="15">
        <v>1</v>
      </c>
      <c r="D11" s="15">
        <v>0</v>
      </c>
      <c r="E11" s="15">
        <v>0</v>
      </c>
      <c r="F11" s="15">
        <v>0</v>
      </c>
      <c r="G11" s="27">
        <v>0</v>
      </c>
      <c r="L11" t="s">
        <v>37</v>
      </c>
    </row>
    <row r="12" spans="1:16" x14ac:dyDescent="0.25">
      <c r="A12" s="42"/>
      <c r="B12" s="14" t="s">
        <v>32</v>
      </c>
      <c r="C12" s="15">
        <f>0.7*0.1</f>
        <v>6.9999999999999993E-2</v>
      </c>
      <c r="D12" s="15">
        <v>0.3</v>
      </c>
      <c r="E12" s="15">
        <f>0.7*0.9</f>
        <v>0.63</v>
      </c>
      <c r="F12" s="15">
        <v>0</v>
      </c>
      <c r="G12" s="27">
        <v>0</v>
      </c>
    </row>
    <row r="13" spans="1:16" x14ac:dyDescent="0.25">
      <c r="A13" s="42"/>
      <c r="B13" s="14" t="s">
        <v>33</v>
      </c>
      <c r="C13" s="15">
        <v>0</v>
      </c>
      <c r="D13" s="15">
        <v>0</v>
      </c>
      <c r="E13" s="15">
        <v>0</v>
      </c>
      <c r="F13" s="15">
        <v>0</v>
      </c>
      <c r="G13" s="27">
        <v>0</v>
      </c>
    </row>
    <row r="14" spans="1:16" x14ac:dyDescent="0.25">
      <c r="A14" s="42"/>
      <c r="B14" s="14" t="s">
        <v>34</v>
      </c>
      <c r="C14" s="15">
        <v>0</v>
      </c>
      <c r="D14" s="15">
        <v>0</v>
      </c>
      <c r="E14" s="15">
        <v>0</v>
      </c>
      <c r="F14" s="15">
        <v>0</v>
      </c>
      <c r="G14" s="27">
        <v>0</v>
      </c>
    </row>
    <row r="15" spans="1:16" x14ac:dyDescent="0.25">
      <c r="A15" s="37"/>
      <c r="B15" s="18" t="s">
        <v>35</v>
      </c>
      <c r="C15" s="19">
        <v>0</v>
      </c>
      <c r="D15" s="19">
        <v>0</v>
      </c>
      <c r="E15" s="19">
        <v>0</v>
      </c>
      <c r="F15" s="19">
        <v>0</v>
      </c>
      <c r="G15" s="29">
        <v>0</v>
      </c>
    </row>
    <row r="16" spans="1:16" x14ac:dyDescent="0.25">
      <c r="A16" s="9"/>
      <c r="B16" s="9"/>
    </row>
    <row r="17" spans="1:7" x14ac:dyDescent="0.25">
      <c r="A17" s="23"/>
      <c r="B17" s="23"/>
      <c r="C17" s="39" t="s">
        <v>29</v>
      </c>
      <c r="D17" s="39"/>
      <c r="E17" s="39"/>
      <c r="F17" s="39"/>
      <c r="G17" s="24"/>
    </row>
    <row r="18" spans="1:7" x14ac:dyDescent="0.25">
      <c r="A18" s="7" t="s">
        <v>38</v>
      </c>
      <c r="B18" s="9"/>
      <c r="C18" s="9" t="s">
        <v>31</v>
      </c>
      <c r="D18" s="9" t="s">
        <v>32</v>
      </c>
      <c r="E18" s="9" t="s">
        <v>33</v>
      </c>
      <c r="F18" s="9" t="s">
        <v>34</v>
      </c>
      <c r="G18" s="26" t="s">
        <v>35</v>
      </c>
    </row>
    <row r="19" spans="1:7" ht="12.75" customHeight="1" x14ac:dyDescent="0.25">
      <c r="A19" s="42" t="s">
        <v>36</v>
      </c>
      <c r="B19" s="14" t="s">
        <v>31</v>
      </c>
      <c r="C19" s="15">
        <v>1</v>
      </c>
      <c r="D19" s="15">
        <v>1</v>
      </c>
      <c r="E19" s="15">
        <v>1</v>
      </c>
      <c r="F19" s="15">
        <v>1</v>
      </c>
      <c r="G19" s="27">
        <v>1</v>
      </c>
    </row>
    <row r="20" spans="1:7" x14ac:dyDescent="0.25">
      <c r="A20" s="42"/>
      <c r="B20" s="14" t="s">
        <v>32</v>
      </c>
      <c r="C20" s="15">
        <v>1</v>
      </c>
      <c r="D20" s="15">
        <v>1</v>
      </c>
      <c r="E20" s="15">
        <v>1</v>
      </c>
      <c r="F20" s="15">
        <v>1</v>
      </c>
      <c r="G20" s="27">
        <v>1</v>
      </c>
    </row>
    <row r="21" spans="1:7" x14ac:dyDescent="0.25">
      <c r="A21" s="42"/>
      <c r="B21" s="14" t="s">
        <v>33</v>
      </c>
      <c r="C21" s="15">
        <v>1</v>
      </c>
      <c r="D21" s="15">
        <v>1</v>
      </c>
      <c r="E21" s="15">
        <v>1</v>
      </c>
      <c r="F21" s="15">
        <v>1</v>
      </c>
      <c r="G21" s="27">
        <v>1</v>
      </c>
    </row>
    <row r="22" spans="1:7" x14ac:dyDescent="0.25">
      <c r="A22" s="42"/>
      <c r="B22" s="14" t="s">
        <v>34</v>
      </c>
      <c r="C22" s="15">
        <v>1</v>
      </c>
      <c r="D22" s="15">
        <v>1</v>
      </c>
      <c r="E22" s="15">
        <v>1</v>
      </c>
      <c r="F22" s="15">
        <v>1</v>
      </c>
      <c r="G22" s="27">
        <v>1</v>
      </c>
    </row>
    <row r="23" spans="1:7" x14ac:dyDescent="0.25">
      <c r="A23" s="32"/>
      <c r="B23" s="18" t="s">
        <v>35</v>
      </c>
      <c r="C23" s="19">
        <v>1</v>
      </c>
      <c r="D23" s="19">
        <v>1</v>
      </c>
      <c r="E23" s="19">
        <v>1</v>
      </c>
      <c r="F23" s="19">
        <v>1</v>
      </c>
      <c r="G23" s="29">
        <v>1</v>
      </c>
    </row>
    <row r="24" spans="1:7" x14ac:dyDescent="0.25">
      <c r="A24"/>
    </row>
    <row r="25" spans="1:7" x14ac:dyDescent="0.25">
      <c r="A25" s="33" t="s">
        <v>39</v>
      </c>
      <c r="B25" s="31"/>
      <c r="C25" s="39" t="s">
        <v>29</v>
      </c>
      <c r="D25" s="39"/>
      <c r="E25" s="39"/>
      <c r="F25" s="39"/>
      <c r="G25" s="24"/>
    </row>
    <row r="26" spans="1:7" x14ac:dyDescent="0.25">
      <c r="A26" s="7" t="s">
        <v>40</v>
      </c>
      <c r="B26" s="9"/>
      <c r="C26" s="9" t="s">
        <v>31</v>
      </c>
      <c r="D26" s="9" t="s">
        <v>32</v>
      </c>
      <c r="E26" s="9" t="s">
        <v>33</v>
      </c>
      <c r="F26" s="9" t="s">
        <v>34</v>
      </c>
      <c r="G26" s="26" t="s">
        <v>35</v>
      </c>
    </row>
    <row r="27" spans="1:7" ht="12.75" customHeight="1" x14ac:dyDescent="0.25">
      <c r="A27" s="42" t="s">
        <v>36</v>
      </c>
      <c r="B27" s="14" t="s">
        <v>31</v>
      </c>
      <c r="C27" s="15">
        <v>0</v>
      </c>
      <c r="D27" s="15">
        <v>0</v>
      </c>
      <c r="E27" s="15">
        <v>0</v>
      </c>
      <c r="F27" s="15">
        <v>0</v>
      </c>
      <c r="G27" s="27">
        <v>0</v>
      </c>
    </row>
    <row r="28" spans="1:7" x14ac:dyDescent="0.25">
      <c r="A28" s="42"/>
      <c r="B28" s="14" t="s">
        <v>32</v>
      </c>
      <c r="C28" s="15">
        <v>0</v>
      </c>
      <c r="D28" s="15">
        <v>0</v>
      </c>
      <c r="E28" s="15">
        <v>0</v>
      </c>
      <c r="F28" s="15">
        <v>0</v>
      </c>
      <c r="G28" s="27">
        <v>0</v>
      </c>
    </row>
    <row r="29" spans="1:7" x14ac:dyDescent="0.25">
      <c r="A29" s="42"/>
      <c r="B29" s="14" t="s">
        <v>33</v>
      </c>
      <c r="C29" s="15">
        <v>0</v>
      </c>
      <c r="D29" s="15">
        <v>0</v>
      </c>
      <c r="E29" s="15">
        <v>0</v>
      </c>
      <c r="F29" s="15">
        <v>0</v>
      </c>
      <c r="G29" s="27">
        <v>0</v>
      </c>
    </row>
    <row r="30" spans="1:7" x14ac:dyDescent="0.25">
      <c r="A30" s="42"/>
      <c r="B30" s="14" t="s">
        <v>34</v>
      </c>
      <c r="C30" s="15">
        <v>0</v>
      </c>
      <c r="D30" s="15">
        <v>0</v>
      </c>
      <c r="E30" s="15">
        <v>0</v>
      </c>
      <c r="F30" s="15">
        <v>0</v>
      </c>
      <c r="G30" s="27">
        <v>0</v>
      </c>
    </row>
    <row r="31" spans="1:7" x14ac:dyDescent="0.25">
      <c r="A31" s="32"/>
      <c r="B31" s="18" t="s">
        <v>35</v>
      </c>
      <c r="C31" s="19">
        <v>0</v>
      </c>
      <c r="D31" s="19">
        <v>0</v>
      </c>
      <c r="E31" s="19">
        <v>0</v>
      </c>
      <c r="F31" s="19">
        <v>0</v>
      </c>
      <c r="G31" s="29">
        <v>0</v>
      </c>
    </row>
    <row r="33" spans="1:7" ht="26.4" x14ac:dyDescent="0.25">
      <c r="A33" s="33" t="s">
        <v>41</v>
      </c>
      <c r="B33" s="31"/>
      <c r="C33" s="39" t="s">
        <v>29</v>
      </c>
      <c r="D33" s="39"/>
      <c r="E33" s="39"/>
      <c r="F33" s="39"/>
      <c r="G33" s="24"/>
    </row>
    <row r="34" spans="1:7" x14ac:dyDescent="0.25">
      <c r="A34" s="9" t="s">
        <v>42</v>
      </c>
      <c r="B34" s="9"/>
      <c r="C34" s="9" t="s">
        <v>31</v>
      </c>
      <c r="D34" s="9" t="s">
        <v>32</v>
      </c>
      <c r="E34" s="9" t="s">
        <v>33</v>
      </c>
      <c r="F34" s="9" t="s">
        <v>34</v>
      </c>
      <c r="G34" s="26" t="s">
        <v>35</v>
      </c>
    </row>
    <row r="35" spans="1:7" ht="12.75" customHeight="1" x14ac:dyDescent="0.25">
      <c r="A35" s="42" t="s">
        <v>36</v>
      </c>
      <c r="B35" s="14" t="s">
        <v>31</v>
      </c>
      <c r="C35" s="15">
        <v>0</v>
      </c>
      <c r="D35" s="15">
        <v>0</v>
      </c>
      <c r="E35" s="15">
        <v>0</v>
      </c>
      <c r="F35" s="15">
        <v>0</v>
      </c>
      <c r="G35" s="27">
        <v>0</v>
      </c>
    </row>
    <row r="36" spans="1:7" x14ac:dyDescent="0.25">
      <c r="A36" s="42"/>
      <c r="B36" s="14" t="s">
        <v>32</v>
      </c>
      <c r="C36" s="15">
        <v>0.1</v>
      </c>
      <c r="D36" s="15">
        <v>0</v>
      </c>
      <c r="E36" s="15">
        <v>0.9</v>
      </c>
      <c r="F36" s="15">
        <v>0</v>
      </c>
      <c r="G36" s="27">
        <v>0</v>
      </c>
    </row>
    <row r="37" spans="1:7" x14ac:dyDescent="0.25">
      <c r="A37" s="42"/>
      <c r="B37" s="14" t="s">
        <v>33</v>
      </c>
      <c r="C37" s="15">
        <v>0</v>
      </c>
      <c r="D37" s="15">
        <v>0</v>
      </c>
      <c r="E37" s="15">
        <v>0</v>
      </c>
      <c r="F37" s="15">
        <v>0</v>
      </c>
      <c r="G37" s="27">
        <v>0</v>
      </c>
    </row>
    <row r="38" spans="1:7" x14ac:dyDescent="0.25">
      <c r="A38" s="42"/>
      <c r="B38" s="14" t="s">
        <v>34</v>
      </c>
      <c r="C38" s="15">
        <v>0</v>
      </c>
      <c r="D38" s="15">
        <v>0</v>
      </c>
      <c r="E38" s="15">
        <v>0</v>
      </c>
      <c r="F38" s="15">
        <v>0</v>
      </c>
      <c r="G38" s="27">
        <v>0</v>
      </c>
    </row>
    <row r="39" spans="1:7" x14ac:dyDescent="0.25">
      <c r="A39" s="32"/>
      <c r="B39" s="18" t="s">
        <v>35</v>
      </c>
      <c r="C39" s="19">
        <v>0</v>
      </c>
      <c r="D39" s="19">
        <v>0</v>
      </c>
      <c r="E39" s="19">
        <v>0</v>
      </c>
      <c r="F39" s="19">
        <v>0</v>
      </c>
      <c r="G39" s="29">
        <v>0</v>
      </c>
    </row>
    <row r="42" spans="1:7" x14ac:dyDescent="0.25">
      <c r="A42" s="34" t="s">
        <v>28</v>
      </c>
    </row>
  </sheetData>
  <mergeCells count="10">
    <mergeCell ref="F1:H1"/>
    <mergeCell ref="J1:K1"/>
    <mergeCell ref="C9:F9"/>
    <mergeCell ref="A11:A14"/>
    <mergeCell ref="A35:A38"/>
    <mergeCell ref="C17:F17"/>
    <mergeCell ref="A19:A22"/>
    <mergeCell ref="C25:F25"/>
    <mergeCell ref="A27:A30"/>
    <mergeCell ref="C33:F33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Initial Pop</vt:lpstr>
      <vt:lpstr>Breeding &amp; Fall</vt:lpstr>
      <vt:lpstr>Winter &amp; Spring</vt:lpstr>
      <vt:lpstr>Spring Stopover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Sample</dc:creator>
  <cp:lastModifiedBy>Mattsson Brady</cp:lastModifiedBy>
  <cp:revision>33</cp:revision>
  <cp:lastPrinted>2016-01-27T22:26:48Z</cp:lastPrinted>
  <dcterms:created xsi:type="dcterms:W3CDTF">2016-01-28T18:57:58Z</dcterms:created>
  <dcterms:modified xsi:type="dcterms:W3CDTF">2026-05-01T11:43:30Z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