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l\Google Drive\research\NSF2020\New Pintails\FinalCodePintails\Baseline1\"/>
    </mc:Choice>
  </mc:AlternateContent>
  <xr:revisionPtr revIDLastSave="0" documentId="13_ncr:1_{4C759679-87DF-4B25-AE54-97741A18F20B}" xr6:coauthVersionLast="46" xr6:coauthVersionMax="46" xr10:uidLastSave="{00000000-0000-0000-0000-000000000000}"/>
  <bookViews>
    <workbookView xWindow="10167" yWindow="2767" windowWidth="10920" windowHeight="10040" tabRatio="988" activeTab="2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20" i="2"/>
  <c r="G21" i="2"/>
  <c r="F21" i="2"/>
  <c r="F20" i="2"/>
  <c r="F19" i="2"/>
  <c r="E12" i="4"/>
  <c r="C12" i="4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<sst xmlns="http://schemas.openxmlformats.org/spreadsheetml/2006/main" count="260" uniqueCount="45">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</sst>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0" fillId="0" borderId="2" xfId="0" applyFont="1" applyBorder="1" applyAlignment="1"/>
    <xf numFmtId="0" fontId="0" fillId="0" borderId="5" xfId="0" applyFont="1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/>
    <xf numFmtId="0" fontId="0" fillId="0" borderId="5" xfId="0" applyFont="1" applyBorder="1" applyAlignment="1"/>
    <xf numFmtId="0" fontId="1" fillId="0" borderId="5" xfId="0" applyFont="1" applyBorder="1" applyAlignment="1">
      <alignment horizontal="center"/>
    </xf>
    <xf numFmtId="0" fontId="0" fillId="0" borderId="6" xfId="0" applyFont="1" applyBorder="1" applyAlignme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2" xfId="0" applyFont="1" applyBorder="1" applyAlignment="1"/>
    <xf numFmtId="0" fontId="2" fillId="0" borderId="10" xfId="0" applyFont="1" applyBorder="1" applyAlignment="1">
      <alignment vertical="center" wrapText="1"/>
    </xf>
    <xf numFmtId="0" fontId="1" fillId="0" borderId="6" xfId="0" applyFont="1" applyBorder="1" applyAlignment="1"/>
    <xf numFmtId="0" fontId="0" fillId="0" borderId="7" xfId="0" applyFont="1" applyBorder="1" applyAlignment="1">
      <alignment wrapText="1"/>
    </xf>
    <xf numFmtId="0" fontId="0" fillId="0" borderId="7" xfId="0" applyFont="1" applyBorder="1"/>
    <xf numFmtId="0" fontId="2" fillId="0" borderId="2" xfId="0" applyFont="1" applyBorder="1" applyAlignment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Border="1" applyAlignment="1"/>
    <xf numFmtId="0" fontId="2" fillId="0" borderId="0" xfId="0" applyFont="1" applyAlignment="1">
      <alignment horizontal="center"/>
    </xf>
    <xf numFmtId="0" fontId="0" fillId="0" borderId="5" xfId="0" applyFont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0" fillId="0" borderId="7" xfId="0" applyBorder="1"/>
    <xf numFmtId="0" fontId="2" fillId="0" borderId="5" xfId="0" applyFont="1" applyBorder="1" applyAlignment="1">
      <alignment vertical="center" wrapText="1"/>
    </xf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32040</xdr:rowOff>
    </xdr:from>
    <xdr:to>
      <xdr:col>13</xdr:col>
      <xdr:colOff>636480</xdr:colOff>
      <xdr:row>18</xdr:row>
      <xdr:rowOff>34560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 kmale_juv=.275 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21240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2.7" x14ac:dyDescent="0.4"/>
  <cols>
    <col min="1" max="1025" width="14.41015625" style="1"/>
  </cols>
  <sheetData>
    <row r="1" spans="1:2" ht="15.75" customHeight="1" x14ac:dyDescent="0.4">
      <c r="A1" s="2" t="s">
        <v>0</v>
      </c>
      <c r="B1" s="2" t="s">
        <v>1</v>
      </c>
    </row>
    <row r="2" spans="1:2" ht="15.75" customHeight="1" x14ac:dyDescent="0.4">
      <c r="A2" s="3" t="s">
        <v>2</v>
      </c>
      <c r="B2" s="4">
        <v>0</v>
      </c>
    </row>
    <row r="3" spans="1:2" ht="15.75" customHeight="1" x14ac:dyDescent="0.4">
      <c r="A3" s="3" t="s">
        <v>3</v>
      </c>
      <c r="B3" s="2">
        <v>0</v>
      </c>
    </row>
    <row r="4" spans="1:2" ht="15.75" customHeight="1" x14ac:dyDescent="0.4">
      <c r="A4" s="3" t="s">
        <v>4</v>
      </c>
      <c r="B4" s="2">
        <v>0</v>
      </c>
    </row>
    <row r="5" spans="1:2" ht="15.75" customHeight="1" x14ac:dyDescent="0.4">
      <c r="A5" s="3" t="s">
        <v>5</v>
      </c>
      <c r="B5" s="2">
        <v>0</v>
      </c>
    </row>
    <row r="6" spans="1:2" ht="15.75" customHeight="1" x14ac:dyDescent="0.4">
      <c r="A6" s="3" t="s">
        <v>6</v>
      </c>
      <c r="B6" s="1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opLeftCell="G2" zoomScaleNormal="100" workbookViewId="0">
      <selection activeCell="H32" sqref="H32"/>
    </sheetView>
  </sheetViews>
  <sheetFormatPr defaultRowHeight="12.7" x14ac:dyDescent="0.4"/>
  <cols>
    <col min="1" max="1" width="19.703125" style="5"/>
    <col min="2" max="16" width="9.703125"/>
    <col min="17" max="1025" width="9.8203125"/>
  </cols>
  <sheetData>
    <row r="1" spans="1:17" s="5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1" t="s">
        <v>10</v>
      </c>
      <c r="F1" s="59" t="s">
        <v>11</v>
      </c>
      <c r="G1" s="59"/>
      <c r="H1" s="59"/>
      <c r="I1" s="52" t="s">
        <v>12</v>
      </c>
      <c r="J1" s="59" t="s">
        <v>13</v>
      </c>
      <c r="K1" s="59"/>
      <c r="L1" s="52" t="s">
        <v>14</v>
      </c>
      <c r="M1" s="11" t="s">
        <v>15</v>
      </c>
      <c r="N1" s="5" t="s">
        <v>16</v>
      </c>
    </row>
    <row r="2" spans="1:17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53" t="s">
        <v>23</v>
      </c>
      <c r="J2" s="13" t="s">
        <v>24</v>
      </c>
      <c r="K2" s="13" t="s">
        <v>25</v>
      </c>
      <c r="L2" s="53" t="s">
        <v>26</v>
      </c>
      <c r="M2" s="54" t="s">
        <v>27</v>
      </c>
      <c r="N2" s="12" t="s">
        <v>28</v>
      </c>
      <c r="O2" s="12"/>
      <c r="P2" s="12"/>
      <c r="Q2" s="12"/>
    </row>
    <row r="3" spans="1:17" x14ac:dyDescent="0.4">
      <c r="A3" s="17"/>
      <c r="B3" s="18" t="s">
        <v>2</v>
      </c>
      <c r="C3" s="19">
        <v>1</v>
      </c>
      <c r="D3">
        <v>0</v>
      </c>
      <c r="E3" s="3">
        <v>0</v>
      </c>
      <c r="F3" s="3">
        <v>-1000000</v>
      </c>
      <c r="G3" s="3">
        <v>-1000000</v>
      </c>
      <c r="H3" s="3">
        <v>-1000000</v>
      </c>
      <c r="I3">
        <v>0</v>
      </c>
      <c r="J3" s="3">
        <v>-1000000</v>
      </c>
      <c r="K3" s="3">
        <v>-1000000</v>
      </c>
      <c r="L3">
        <v>0</v>
      </c>
      <c r="M3" s="55">
        <v>0</v>
      </c>
    </row>
    <row r="4" spans="1:17" x14ac:dyDescent="0.4">
      <c r="A4" s="17"/>
      <c r="B4" s="18" t="s">
        <v>3</v>
      </c>
      <c r="C4" s="19">
        <v>1</v>
      </c>
      <c r="D4">
        <v>3.2</v>
      </c>
      <c r="E4" s="3">
        <v>0</v>
      </c>
      <c r="F4" s="3">
        <v>-1000000</v>
      </c>
      <c r="G4" s="3">
        <v>-1000000</v>
      </c>
      <c r="H4" s="3">
        <v>-1000000</v>
      </c>
      <c r="I4">
        <v>0</v>
      </c>
      <c r="J4" s="3">
        <v>-1000000</v>
      </c>
      <c r="K4" s="3">
        <v>-1000000</v>
      </c>
      <c r="L4">
        <v>0</v>
      </c>
      <c r="M4" s="55">
        <v>0</v>
      </c>
    </row>
    <row r="5" spans="1:17" x14ac:dyDescent="0.4">
      <c r="A5" s="17"/>
      <c r="B5" s="18" t="s">
        <v>4</v>
      </c>
      <c r="C5" s="19">
        <v>1</v>
      </c>
      <c r="D5">
        <v>0</v>
      </c>
      <c r="E5" s="3">
        <v>0</v>
      </c>
      <c r="F5" s="3">
        <v>-1000000</v>
      </c>
      <c r="G5" s="3">
        <v>-1000000</v>
      </c>
      <c r="H5" s="3">
        <v>-1000000</v>
      </c>
      <c r="I5">
        <v>0</v>
      </c>
      <c r="J5" s="3">
        <v>-1000000</v>
      </c>
      <c r="K5" s="3">
        <v>-1000000</v>
      </c>
      <c r="L5">
        <v>0</v>
      </c>
      <c r="M5" s="55">
        <v>0</v>
      </c>
    </row>
    <row r="6" spans="1:17" x14ac:dyDescent="0.4">
      <c r="A6" s="17"/>
      <c r="B6" s="18" t="s">
        <v>5</v>
      </c>
      <c r="C6" s="19">
        <v>0</v>
      </c>
      <c r="D6">
        <v>0</v>
      </c>
      <c r="E6" s="3">
        <v>0</v>
      </c>
      <c r="F6" s="3">
        <v>-1000000</v>
      </c>
      <c r="G6" s="3">
        <v>-1000000</v>
      </c>
      <c r="H6" s="3">
        <v>-1000000</v>
      </c>
      <c r="I6">
        <v>0</v>
      </c>
      <c r="J6" s="3">
        <v>-1000000</v>
      </c>
      <c r="K6" s="3">
        <v>-1000000</v>
      </c>
      <c r="L6">
        <v>0</v>
      </c>
      <c r="M6" s="55">
        <v>0</v>
      </c>
    </row>
    <row r="7" spans="1:17" s="1" customFormat="1" x14ac:dyDescent="0.4">
      <c r="A7" s="21"/>
      <c r="B7" s="22" t="s">
        <v>6</v>
      </c>
      <c r="C7" s="23">
        <v>0</v>
      </c>
      <c r="D7" s="24">
        <v>0</v>
      </c>
      <c r="E7" s="25">
        <v>0</v>
      </c>
      <c r="F7" s="25">
        <v>-1000000</v>
      </c>
      <c r="G7" s="25">
        <v>-1000000</v>
      </c>
      <c r="H7" s="25">
        <v>-1000000</v>
      </c>
      <c r="I7" s="56">
        <v>0</v>
      </c>
      <c r="J7" s="25">
        <v>-1000000</v>
      </c>
      <c r="K7" s="25">
        <v>-1000000</v>
      </c>
      <c r="L7" s="56">
        <v>0</v>
      </c>
      <c r="M7" s="57">
        <v>0</v>
      </c>
      <c r="N7"/>
      <c r="O7"/>
      <c r="P7"/>
      <c r="Q7"/>
    </row>
    <row r="8" spans="1:17" x14ac:dyDescent="0.4">
      <c r="A8" s="17"/>
      <c r="B8" s="2"/>
      <c r="C8" s="2"/>
    </row>
    <row r="9" spans="1:17" x14ac:dyDescent="0.4">
      <c r="A9" s="6"/>
      <c r="B9" s="27"/>
      <c r="C9" s="60" t="s">
        <v>29</v>
      </c>
      <c r="D9" s="60"/>
      <c r="E9" s="60"/>
      <c r="F9" s="60"/>
      <c r="G9" s="28"/>
    </row>
    <row r="10" spans="1:17" x14ac:dyDescent="0.4">
      <c r="A10" s="29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1" t="s">
        <v>35</v>
      </c>
    </row>
    <row r="11" spans="1:17" ht="12.75" customHeight="1" x14ac:dyDescent="0.4">
      <c r="A11" s="61" t="s">
        <v>36</v>
      </c>
      <c r="B11" s="32" t="s">
        <v>31</v>
      </c>
      <c r="C11" s="33">
        <v>0</v>
      </c>
      <c r="D11" s="33">
        <v>0</v>
      </c>
      <c r="E11" s="33">
        <v>0</v>
      </c>
      <c r="F11" s="33">
        <v>0.9</v>
      </c>
      <c r="G11" s="34">
        <v>0.1</v>
      </c>
      <c r="L11" t="s">
        <v>37</v>
      </c>
    </row>
    <row r="12" spans="1:17" x14ac:dyDescent="0.4">
      <c r="A12" s="61"/>
      <c r="B12" s="32" t="s">
        <v>32</v>
      </c>
      <c r="C12" s="33">
        <v>0</v>
      </c>
      <c r="D12" s="33">
        <v>0</v>
      </c>
      <c r="E12" s="33">
        <v>0</v>
      </c>
      <c r="F12" s="33">
        <v>0.5</v>
      </c>
      <c r="G12" s="34">
        <v>0.5</v>
      </c>
    </row>
    <row r="13" spans="1:17" x14ac:dyDescent="0.4">
      <c r="A13" s="61"/>
      <c r="B13" s="32" t="s">
        <v>33</v>
      </c>
      <c r="C13" s="33">
        <v>0</v>
      </c>
      <c r="D13" s="33">
        <v>0</v>
      </c>
      <c r="E13" s="33">
        <v>0</v>
      </c>
      <c r="F13" s="33">
        <v>0.5</v>
      </c>
      <c r="G13" s="34">
        <v>0.5</v>
      </c>
    </row>
    <row r="14" spans="1:17" x14ac:dyDescent="0.4">
      <c r="A14" s="61"/>
      <c r="B14" s="32" t="s">
        <v>34</v>
      </c>
      <c r="C14" s="33">
        <v>0</v>
      </c>
      <c r="D14" s="33">
        <v>0</v>
      </c>
      <c r="E14" s="33">
        <v>0</v>
      </c>
      <c r="F14" s="33">
        <v>0</v>
      </c>
      <c r="G14" s="34">
        <v>0</v>
      </c>
    </row>
    <row r="15" spans="1:17" s="1" customFormat="1" x14ac:dyDescent="0.4">
      <c r="A15" s="35"/>
      <c r="B15" s="22" t="s">
        <v>35</v>
      </c>
      <c r="C15" s="23">
        <v>0</v>
      </c>
      <c r="D15" s="23">
        <v>0</v>
      </c>
      <c r="E15" s="23">
        <v>0</v>
      </c>
      <c r="F15" s="23">
        <v>0</v>
      </c>
      <c r="G15" s="36">
        <v>0</v>
      </c>
    </row>
    <row r="16" spans="1:17" x14ac:dyDescent="0.4">
      <c r="A16" s="17"/>
      <c r="B16" s="2"/>
      <c r="C16" s="2"/>
      <c r="D16" s="2"/>
      <c r="E16" s="2"/>
      <c r="F16" s="2"/>
    </row>
    <row r="17" spans="1:9" x14ac:dyDescent="0.4">
      <c r="A17" s="37"/>
      <c r="B17" s="38"/>
      <c r="C17" s="60" t="s">
        <v>29</v>
      </c>
      <c r="D17" s="60"/>
      <c r="E17" s="60"/>
      <c r="F17" s="60"/>
      <c r="G17" s="28"/>
    </row>
    <row r="18" spans="1:9" x14ac:dyDescent="0.4">
      <c r="A18" s="10" t="s">
        <v>38</v>
      </c>
      <c r="B18" s="30"/>
      <c r="C18" s="30" t="s">
        <v>31</v>
      </c>
      <c r="D18" s="30" t="s">
        <v>32</v>
      </c>
      <c r="E18" s="30" t="s">
        <v>33</v>
      </c>
      <c r="F18" s="30" t="s">
        <v>34</v>
      </c>
      <c r="G18" s="39" t="s">
        <v>35</v>
      </c>
      <c r="I18" s="49" t="s">
        <v>43</v>
      </c>
    </row>
    <row r="19" spans="1:9" ht="12.75" customHeight="1" x14ac:dyDescent="0.4">
      <c r="A19" s="58" t="s">
        <v>36</v>
      </c>
      <c r="B19" s="32" t="s">
        <v>31</v>
      </c>
      <c r="C19" s="33">
        <v>0</v>
      </c>
      <c r="D19" s="33">
        <v>0</v>
      </c>
      <c r="E19" s="33">
        <v>0</v>
      </c>
      <c r="F19" s="19">
        <f>0.8-$I$19</f>
        <v>0.84000000000000008</v>
      </c>
      <c r="G19" s="19">
        <f>0.75-$I$19</f>
        <v>0.79</v>
      </c>
      <c r="I19" s="50">
        <v>-0.04</v>
      </c>
    </row>
    <row r="20" spans="1:9" x14ac:dyDescent="0.4">
      <c r="A20" s="58"/>
      <c r="B20" s="32" t="s">
        <v>32</v>
      </c>
      <c r="C20" s="33">
        <v>0</v>
      </c>
      <c r="D20" s="33">
        <v>0</v>
      </c>
      <c r="E20" s="33">
        <v>0</v>
      </c>
      <c r="F20" s="19">
        <f>0.8-$I$19</f>
        <v>0.84000000000000008</v>
      </c>
      <c r="G20" s="19">
        <f>0.8-$I$19</f>
        <v>0.84000000000000008</v>
      </c>
    </row>
    <row r="21" spans="1:9" x14ac:dyDescent="0.4">
      <c r="A21" s="58"/>
      <c r="B21" s="32" t="s">
        <v>33</v>
      </c>
      <c r="C21" s="33">
        <v>0</v>
      </c>
      <c r="D21" s="33">
        <v>0</v>
      </c>
      <c r="E21" s="33">
        <v>0</v>
      </c>
      <c r="F21" s="19">
        <f>0.8-$I$19</f>
        <v>0.84000000000000008</v>
      </c>
      <c r="G21" s="19">
        <f>0.8-$I$19</f>
        <v>0.84000000000000008</v>
      </c>
    </row>
    <row r="22" spans="1:9" x14ac:dyDescent="0.4">
      <c r="A22" s="58"/>
      <c r="B22" s="32" t="s">
        <v>34</v>
      </c>
      <c r="C22" s="33">
        <v>0</v>
      </c>
      <c r="D22" s="33">
        <v>0</v>
      </c>
      <c r="E22" s="33">
        <v>0</v>
      </c>
      <c r="F22" s="33">
        <v>0</v>
      </c>
      <c r="G22" s="34">
        <v>0</v>
      </c>
    </row>
    <row r="23" spans="1:9" x14ac:dyDescent="0.4">
      <c r="A23" s="40"/>
      <c r="B23" s="22" t="s">
        <v>35</v>
      </c>
      <c r="C23" s="23">
        <v>0</v>
      </c>
      <c r="D23" s="23">
        <v>0</v>
      </c>
      <c r="E23" s="23">
        <v>0</v>
      </c>
      <c r="F23" s="23">
        <v>0</v>
      </c>
      <c r="G23" s="36">
        <v>0</v>
      </c>
    </row>
    <row r="24" spans="1:9" x14ac:dyDescent="0.4">
      <c r="A24" s="17"/>
      <c r="B24" s="2"/>
      <c r="C24" s="2"/>
      <c r="D24" s="2"/>
      <c r="E24" s="2"/>
      <c r="F24" s="2"/>
      <c r="G24" s="1"/>
    </row>
    <row r="25" spans="1:9" x14ac:dyDescent="0.4">
      <c r="A25" s="41" t="s">
        <v>39</v>
      </c>
      <c r="B25" s="38"/>
      <c r="C25" s="60" t="s">
        <v>29</v>
      </c>
      <c r="D25" s="60"/>
      <c r="E25" s="60"/>
      <c r="F25" s="60"/>
      <c r="G25" s="28"/>
    </row>
    <row r="26" spans="1:9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9" ht="12.75" customHeight="1" x14ac:dyDescent="0.4">
      <c r="A27" s="58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9" x14ac:dyDescent="0.4">
      <c r="A28" s="58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9" x14ac:dyDescent="0.4">
      <c r="A29" s="58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9" x14ac:dyDescent="0.4">
      <c r="A30" s="58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9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3" spans="1:7" ht="25.35" x14ac:dyDescent="0.4">
      <c r="A33" s="41" t="s">
        <v>41</v>
      </c>
      <c r="B33" s="38"/>
      <c r="C33" s="60" t="s">
        <v>29</v>
      </c>
      <c r="D33" s="60"/>
      <c r="E33" s="60"/>
      <c r="F33" s="60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58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58"/>
      <c r="B36" s="32" t="s">
        <v>32</v>
      </c>
      <c r="C36" s="33">
        <v>0</v>
      </c>
      <c r="D36" s="33">
        <v>0</v>
      </c>
      <c r="E36" s="33">
        <v>0</v>
      </c>
      <c r="F36" s="33">
        <v>0</v>
      </c>
      <c r="G36" s="34">
        <v>0</v>
      </c>
    </row>
    <row r="37" spans="1:7" x14ac:dyDescent="0.4">
      <c r="A37" s="58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58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42"/>
  <sheetViews>
    <sheetView tabSelected="1" topLeftCell="B1" zoomScaleNormal="100" workbookViewId="0">
      <selection activeCell="J8" sqref="J8"/>
    </sheetView>
  </sheetViews>
  <sheetFormatPr defaultRowHeight="12.7" x14ac:dyDescent="0.4"/>
  <cols>
    <col min="1" max="1" width="19.703125" style="1"/>
    <col min="2" max="1023" width="9.703125" style="1"/>
    <col min="1024" max="1025" width="9.703125"/>
  </cols>
  <sheetData>
    <row r="1" spans="1:1023" s="17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1" t="s">
        <v>10</v>
      </c>
      <c r="F1" s="62" t="s">
        <v>11</v>
      </c>
      <c r="G1" s="62"/>
      <c r="H1" s="62"/>
      <c r="I1" s="10" t="s">
        <v>12</v>
      </c>
      <c r="J1" s="62" t="s">
        <v>13</v>
      </c>
      <c r="K1" s="62"/>
      <c r="L1" s="10" t="s">
        <v>14</v>
      </c>
      <c r="M1" s="11" t="s">
        <v>15</v>
      </c>
      <c r="N1" s="7" t="s">
        <v>16</v>
      </c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</row>
    <row r="2" spans="1:1023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15" t="s">
        <v>23</v>
      </c>
      <c r="J2" s="13" t="s">
        <v>24</v>
      </c>
      <c r="K2" s="13" t="s">
        <v>25</v>
      </c>
      <c r="L2" s="15" t="s">
        <v>26</v>
      </c>
      <c r="M2" s="16" t="s">
        <v>27</v>
      </c>
      <c r="N2" s="12" t="s">
        <v>28</v>
      </c>
      <c r="AMH2"/>
      <c r="AMI2"/>
    </row>
    <row r="3" spans="1:1023" x14ac:dyDescent="0.4">
      <c r="A3" s="2"/>
      <c r="B3" s="18" t="s">
        <v>2</v>
      </c>
      <c r="C3" s="19">
        <v>0</v>
      </c>
      <c r="D3" s="19">
        <v>0</v>
      </c>
      <c r="E3" s="3">
        <v>0</v>
      </c>
      <c r="F3" s="3">
        <v>-1000000</v>
      </c>
      <c r="G3" s="3">
        <v>-1000000</v>
      </c>
      <c r="H3" s="3">
        <v>-1000000</v>
      </c>
      <c r="I3" s="3">
        <v>0</v>
      </c>
      <c r="J3" s="3">
        <v>-1000000</v>
      </c>
      <c r="K3" s="3">
        <v>-1000000</v>
      </c>
      <c r="L3" s="1">
        <v>0</v>
      </c>
      <c r="M3" s="20">
        <v>0</v>
      </c>
      <c r="AMH3"/>
      <c r="AMI3"/>
    </row>
    <row r="4" spans="1:1023" x14ac:dyDescent="0.4">
      <c r="A4" s="2"/>
      <c r="B4" s="18" t="s">
        <v>3</v>
      </c>
      <c r="C4" s="19">
        <v>0</v>
      </c>
      <c r="D4" s="19">
        <v>0</v>
      </c>
      <c r="E4" s="3">
        <v>0</v>
      </c>
      <c r="F4" s="3">
        <v>-1000000</v>
      </c>
      <c r="G4" s="3">
        <v>-1000000</v>
      </c>
      <c r="H4" s="3">
        <v>-1000000</v>
      </c>
      <c r="I4" s="3">
        <v>0</v>
      </c>
      <c r="J4" s="3">
        <v>-1000000</v>
      </c>
      <c r="K4" s="3">
        <v>-1000000</v>
      </c>
      <c r="L4" s="1">
        <v>0</v>
      </c>
      <c r="M4" s="20">
        <v>0</v>
      </c>
      <c r="AMH4"/>
      <c r="AMI4"/>
    </row>
    <row r="5" spans="1:1023" x14ac:dyDescent="0.4">
      <c r="A5" s="2"/>
      <c r="B5" s="18" t="s">
        <v>4</v>
      </c>
      <c r="C5" s="19">
        <v>0</v>
      </c>
      <c r="D5" s="19">
        <v>0</v>
      </c>
      <c r="E5" s="3">
        <v>0</v>
      </c>
      <c r="F5" s="3">
        <v>-1000000</v>
      </c>
      <c r="G5" s="3">
        <v>-1000000</v>
      </c>
      <c r="H5" s="3">
        <v>-1000000</v>
      </c>
      <c r="I5" s="3">
        <v>0</v>
      </c>
      <c r="J5" s="3">
        <v>-1000000</v>
      </c>
      <c r="K5" s="3">
        <v>-1000000</v>
      </c>
      <c r="L5" s="1">
        <v>0</v>
      </c>
      <c r="M5" s="20">
        <v>0</v>
      </c>
      <c r="AMH5"/>
      <c r="AMI5"/>
    </row>
    <row r="6" spans="1:1023" x14ac:dyDescent="0.4">
      <c r="A6" s="2"/>
      <c r="B6" s="18" t="s">
        <v>5</v>
      </c>
      <c r="C6" s="19">
        <v>0.9</v>
      </c>
      <c r="D6" s="19">
        <v>0</v>
      </c>
      <c r="E6" s="3">
        <v>0</v>
      </c>
      <c r="F6" s="3">
        <v>-1000000</v>
      </c>
      <c r="G6" s="3">
        <v>-1000000</v>
      </c>
      <c r="H6" s="3">
        <v>-1000000</v>
      </c>
      <c r="I6" s="3">
        <v>0</v>
      </c>
      <c r="J6" s="3">
        <v>4</v>
      </c>
      <c r="K6" s="3">
        <v>-1.5E-6</v>
      </c>
      <c r="L6" s="1">
        <v>0.96</v>
      </c>
      <c r="M6" s="20">
        <v>0.84</v>
      </c>
      <c r="AMH6"/>
      <c r="AMI6"/>
    </row>
    <row r="7" spans="1:1023" x14ac:dyDescent="0.4">
      <c r="A7" s="44"/>
      <c r="B7" s="22" t="s">
        <v>6</v>
      </c>
      <c r="C7" s="23">
        <v>0.9</v>
      </c>
      <c r="D7" s="23">
        <v>0</v>
      </c>
      <c r="E7" s="25">
        <v>0</v>
      </c>
      <c r="F7" s="25">
        <v>-1000000</v>
      </c>
      <c r="G7" s="25">
        <v>-1000000</v>
      </c>
      <c r="H7" s="25">
        <v>-1000000</v>
      </c>
      <c r="I7" s="25">
        <v>0</v>
      </c>
      <c r="J7" s="25">
        <v>3</v>
      </c>
      <c r="K7" s="25">
        <v>-1.5E-6</v>
      </c>
      <c r="L7" s="24">
        <v>0.96</v>
      </c>
      <c r="M7" s="26">
        <v>0.84</v>
      </c>
      <c r="AMH7"/>
      <c r="AMI7"/>
    </row>
    <row r="8" spans="1:1023" x14ac:dyDescent="0.4">
      <c r="A8" s="2"/>
      <c r="B8" s="2"/>
      <c r="C8" s="2"/>
      <c r="D8" s="2"/>
      <c r="E8" s="2"/>
      <c r="F8" s="2"/>
      <c r="G8"/>
      <c r="L8"/>
    </row>
    <row r="9" spans="1:1023" x14ac:dyDescent="0.4">
      <c r="A9" s="38"/>
      <c r="B9" s="38"/>
      <c r="C9" s="60" t="s">
        <v>29</v>
      </c>
      <c r="D9" s="60"/>
      <c r="E9" s="60"/>
      <c r="F9" s="60"/>
      <c r="G9" s="28"/>
      <c r="L9"/>
    </row>
    <row r="10" spans="1:1023" x14ac:dyDescent="0.4">
      <c r="A10" s="30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9" t="s">
        <v>35</v>
      </c>
      <c r="L10"/>
    </row>
    <row r="11" spans="1:1023" x14ac:dyDescent="0.4">
      <c r="A11" s="63" t="s">
        <v>36</v>
      </c>
      <c r="B11" s="32" t="s">
        <v>31</v>
      </c>
      <c r="C11" s="33">
        <v>0</v>
      </c>
      <c r="D11" s="33">
        <v>0</v>
      </c>
      <c r="E11" s="33">
        <v>0</v>
      </c>
      <c r="F11" s="33">
        <v>0</v>
      </c>
      <c r="G11" s="34">
        <v>0</v>
      </c>
      <c r="L11" s="1" t="s">
        <v>37</v>
      </c>
    </row>
    <row r="12" spans="1:1023" x14ac:dyDescent="0.4">
      <c r="A12" s="63"/>
      <c r="B12" s="32" t="s">
        <v>32</v>
      </c>
      <c r="C12" s="33">
        <v>0</v>
      </c>
      <c r="D12" s="33">
        <v>0</v>
      </c>
      <c r="E12" s="33">
        <v>0</v>
      </c>
      <c r="F12" s="33">
        <v>0</v>
      </c>
      <c r="G12" s="34">
        <v>0</v>
      </c>
    </row>
    <row r="13" spans="1:1023" x14ac:dyDescent="0.4">
      <c r="A13" s="63"/>
      <c r="B13" s="32" t="s">
        <v>33</v>
      </c>
      <c r="C13" s="33">
        <v>0</v>
      </c>
      <c r="D13" s="33">
        <v>0</v>
      </c>
      <c r="E13" s="33">
        <v>0</v>
      </c>
      <c r="F13" s="33">
        <v>0</v>
      </c>
      <c r="G13" s="34">
        <v>0</v>
      </c>
    </row>
    <row r="14" spans="1:1023" x14ac:dyDescent="0.4">
      <c r="A14" s="63"/>
      <c r="B14" s="32" t="s">
        <v>34</v>
      </c>
      <c r="C14" s="33">
        <v>0.54</v>
      </c>
      <c r="D14" s="33">
        <v>0.46</v>
      </c>
      <c r="E14" s="33">
        <v>0</v>
      </c>
      <c r="F14" s="33">
        <v>0</v>
      </c>
      <c r="G14" s="34">
        <v>0</v>
      </c>
    </row>
    <row r="15" spans="1:1023" x14ac:dyDescent="0.4">
      <c r="A15" s="45"/>
      <c r="B15" s="22" t="s">
        <v>35</v>
      </c>
      <c r="C15" s="23">
        <v>0.1</v>
      </c>
      <c r="D15" s="23">
        <v>0.9</v>
      </c>
      <c r="E15" s="23">
        <v>0</v>
      </c>
      <c r="F15" s="23">
        <v>0</v>
      </c>
      <c r="G15" s="36">
        <v>0</v>
      </c>
    </row>
    <row r="16" spans="1:1023" x14ac:dyDescent="0.4">
      <c r="A16" s="12"/>
      <c r="B16" s="12"/>
      <c r="C16" s="2"/>
      <c r="D16" s="2"/>
      <c r="E16" s="2"/>
      <c r="F16" s="2"/>
      <c r="G16"/>
    </row>
    <row r="17" spans="1:7" x14ac:dyDescent="0.4">
      <c r="A17" s="27"/>
      <c r="B17" s="27"/>
      <c r="C17" s="60" t="s">
        <v>29</v>
      </c>
      <c r="D17" s="60"/>
      <c r="E17" s="60"/>
      <c r="F17" s="60"/>
      <c r="G17" s="28"/>
    </row>
    <row r="18" spans="1:7" x14ac:dyDescent="0.4">
      <c r="A18" s="30" t="s">
        <v>38</v>
      </c>
      <c r="B18" s="30"/>
      <c r="C18" s="30" t="s">
        <v>31</v>
      </c>
      <c r="D18" s="30" t="s">
        <v>32</v>
      </c>
      <c r="E18" s="30" t="s">
        <v>33</v>
      </c>
      <c r="F18" s="30" t="s">
        <v>34</v>
      </c>
      <c r="G18" s="39" t="s">
        <v>35</v>
      </c>
    </row>
    <row r="19" spans="1:7" x14ac:dyDescent="0.4">
      <c r="A19" s="63" t="s">
        <v>36</v>
      </c>
      <c r="B19" s="32" t="s">
        <v>31</v>
      </c>
      <c r="C19" s="33">
        <v>1</v>
      </c>
      <c r="D19" s="33">
        <v>1</v>
      </c>
      <c r="E19" s="33">
        <v>1</v>
      </c>
      <c r="F19" s="33">
        <v>1</v>
      </c>
      <c r="G19" s="34">
        <v>1</v>
      </c>
    </row>
    <row r="20" spans="1:7" x14ac:dyDescent="0.4">
      <c r="A20" s="63"/>
      <c r="B20" s="32" t="s">
        <v>32</v>
      </c>
      <c r="C20" s="33">
        <v>1</v>
      </c>
      <c r="D20" s="33">
        <v>1</v>
      </c>
      <c r="E20" s="33">
        <v>1</v>
      </c>
      <c r="F20" s="33">
        <v>1</v>
      </c>
      <c r="G20" s="34">
        <v>1</v>
      </c>
    </row>
    <row r="21" spans="1:7" x14ac:dyDescent="0.4">
      <c r="A21" s="63"/>
      <c r="B21" s="32" t="s">
        <v>33</v>
      </c>
      <c r="C21" s="33">
        <v>1</v>
      </c>
      <c r="D21" s="33">
        <v>1</v>
      </c>
      <c r="E21" s="33">
        <v>1</v>
      </c>
      <c r="F21" s="33">
        <v>1</v>
      </c>
      <c r="G21" s="34">
        <v>1</v>
      </c>
    </row>
    <row r="22" spans="1:7" x14ac:dyDescent="0.4">
      <c r="A22" s="63"/>
      <c r="B22" s="32" t="s">
        <v>34</v>
      </c>
      <c r="C22" s="33">
        <v>1</v>
      </c>
      <c r="D22" s="33">
        <v>1</v>
      </c>
      <c r="E22" s="33">
        <v>1</v>
      </c>
      <c r="F22" s="33">
        <v>1</v>
      </c>
      <c r="G22" s="34">
        <v>1</v>
      </c>
    </row>
    <row r="23" spans="1:7" x14ac:dyDescent="0.4">
      <c r="A23" s="46"/>
      <c r="B23" s="22" t="s">
        <v>35</v>
      </c>
      <c r="C23" s="23">
        <v>1</v>
      </c>
      <c r="D23" s="23">
        <v>1</v>
      </c>
      <c r="E23" s="23">
        <v>1</v>
      </c>
      <c r="F23" s="23">
        <v>1</v>
      </c>
      <c r="G23" s="36">
        <v>1</v>
      </c>
    </row>
    <row r="24" spans="1:7" x14ac:dyDescent="0.4">
      <c r="A24"/>
      <c r="B24"/>
      <c r="C24"/>
      <c r="D24"/>
      <c r="E24"/>
      <c r="F24"/>
      <c r="G24"/>
    </row>
    <row r="25" spans="1:7" x14ac:dyDescent="0.4">
      <c r="A25" s="41" t="s">
        <v>39</v>
      </c>
      <c r="B25" s="38"/>
      <c r="C25" s="60" t="s">
        <v>29</v>
      </c>
      <c r="D25" s="60"/>
      <c r="E25" s="60"/>
      <c r="F25" s="60"/>
      <c r="G25" s="28"/>
    </row>
    <row r="26" spans="1:7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7" ht="12.75" customHeight="1" x14ac:dyDescent="0.4">
      <c r="A27" s="58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7" x14ac:dyDescent="0.4">
      <c r="A28" s="58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7" x14ac:dyDescent="0.4">
      <c r="A29" s="58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7" x14ac:dyDescent="0.4">
      <c r="A30" s="58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7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2" spans="1:7" x14ac:dyDescent="0.4">
      <c r="A32" s="5"/>
      <c r="B32"/>
      <c r="C32"/>
      <c r="D32"/>
      <c r="E32"/>
      <c r="F32"/>
      <c r="G32"/>
    </row>
    <row r="33" spans="1:7" ht="25.35" x14ac:dyDescent="0.4">
      <c r="A33" s="41" t="s">
        <v>41</v>
      </c>
      <c r="B33" s="38"/>
      <c r="C33" s="60" t="s">
        <v>29</v>
      </c>
      <c r="D33" s="60"/>
      <c r="E33" s="60"/>
      <c r="F33" s="60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58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58"/>
      <c r="B36" s="32" t="s">
        <v>32</v>
      </c>
      <c r="C36" s="33">
        <v>0</v>
      </c>
      <c r="D36" s="33">
        <v>0</v>
      </c>
      <c r="E36" s="33">
        <v>0</v>
      </c>
      <c r="F36" s="33">
        <v>0</v>
      </c>
      <c r="G36" s="34">
        <v>0</v>
      </c>
    </row>
    <row r="37" spans="1:7" x14ac:dyDescent="0.4">
      <c r="A37" s="58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58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42"/>
  <sheetViews>
    <sheetView zoomScaleNormal="100" workbookViewId="0">
      <selection activeCell="F1" sqref="F1:G7"/>
    </sheetView>
  </sheetViews>
  <sheetFormatPr defaultRowHeight="12.7" x14ac:dyDescent="0.4"/>
  <cols>
    <col min="1" max="1" width="19.703125" style="17"/>
    <col min="2" max="1025" width="9.703125" style="1"/>
  </cols>
  <sheetData>
    <row r="1" spans="1:1025" s="17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1" t="s">
        <v>10</v>
      </c>
      <c r="F1" s="62" t="s">
        <v>11</v>
      </c>
      <c r="G1" s="62"/>
      <c r="H1" s="62"/>
      <c r="I1" s="10" t="s">
        <v>12</v>
      </c>
      <c r="J1" s="62" t="s">
        <v>13</v>
      </c>
      <c r="K1" s="62"/>
      <c r="L1" s="10" t="s">
        <v>14</v>
      </c>
      <c r="M1" s="11" t="s">
        <v>15</v>
      </c>
      <c r="N1" s="7" t="s">
        <v>16</v>
      </c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</row>
    <row r="2" spans="1:1025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15" t="s">
        <v>23</v>
      </c>
      <c r="J2" s="13" t="s">
        <v>24</v>
      </c>
      <c r="K2" s="13" t="s">
        <v>25</v>
      </c>
      <c r="L2" s="15" t="s">
        <v>26</v>
      </c>
      <c r="M2" s="16" t="s">
        <v>27</v>
      </c>
      <c r="N2" s="12" t="s">
        <v>28</v>
      </c>
      <c r="O2" s="42"/>
      <c r="P2" s="12"/>
      <c r="AMJ2"/>
      <c r="AMK2"/>
    </row>
    <row r="3" spans="1:1025" x14ac:dyDescent="0.4">
      <c r="A3"/>
      <c r="B3" s="18" t="s">
        <v>2</v>
      </c>
      <c r="C3" s="19">
        <v>1</v>
      </c>
      <c r="D3">
        <v>0</v>
      </c>
      <c r="E3" s="3">
        <v>0</v>
      </c>
      <c r="F3" s="3">
        <v>-1000000</v>
      </c>
      <c r="G3" s="3">
        <v>-1000000</v>
      </c>
      <c r="H3" s="3">
        <v>-1000000</v>
      </c>
      <c r="I3" s="1">
        <v>0</v>
      </c>
      <c r="J3" s="3">
        <v>-1000000</v>
      </c>
      <c r="K3" s="3">
        <v>-1000000</v>
      </c>
      <c r="L3" s="1">
        <v>0</v>
      </c>
      <c r="M3" s="20">
        <v>0</v>
      </c>
      <c r="AMJ3"/>
      <c r="AMK3"/>
    </row>
    <row r="4" spans="1:1025" x14ac:dyDescent="0.4">
      <c r="A4"/>
      <c r="B4" s="18" t="s">
        <v>3</v>
      </c>
      <c r="C4" s="19">
        <v>1</v>
      </c>
      <c r="D4">
        <v>3.2</v>
      </c>
      <c r="E4" s="3">
        <v>0</v>
      </c>
      <c r="F4" s="3">
        <v>-3</v>
      </c>
      <c r="G4" s="3">
        <v>9.9999999999999995E-7</v>
      </c>
      <c r="H4" s="3">
        <v>0.1</v>
      </c>
      <c r="I4" s="1">
        <v>0.7</v>
      </c>
      <c r="J4" s="3">
        <v>-1000000</v>
      </c>
      <c r="K4" s="3">
        <v>-1000000</v>
      </c>
      <c r="L4" s="1">
        <v>0</v>
      </c>
      <c r="M4" s="20">
        <v>0</v>
      </c>
      <c r="AMJ4"/>
      <c r="AMK4"/>
    </row>
    <row r="5" spans="1:1025" x14ac:dyDescent="0.4">
      <c r="A5"/>
      <c r="B5" s="18" t="s">
        <v>4</v>
      </c>
      <c r="C5" s="19">
        <v>0</v>
      </c>
      <c r="D5">
        <v>0</v>
      </c>
      <c r="E5" s="3">
        <v>0</v>
      </c>
      <c r="F5" s="3">
        <v>-1000000</v>
      </c>
      <c r="G5" s="3">
        <v>-1000000</v>
      </c>
      <c r="H5" s="3">
        <v>-1000000</v>
      </c>
      <c r="I5" s="1">
        <v>0</v>
      </c>
      <c r="J5" s="3">
        <v>-1000000</v>
      </c>
      <c r="K5" s="3">
        <v>-1000000</v>
      </c>
      <c r="L5" s="1">
        <v>0</v>
      </c>
      <c r="M5" s="20">
        <v>0</v>
      </c>
      <c r="AMJ5"/>
      <c r="AMK5"/>
    </row>
    <row r="6" spans="1:1025" x14ac:dyDescent="0.4">
      <c r="A6"/>
      <c r="B6" s="18" t="s">
        <v>5</v>
      </c>
      <c r="C6" s="19">
        <v>0</v>
      </c>
      <c r="D6">
        <v>0</v>
      </c>
      <c r="E6" s="3">
        <v>0</v>
      </c>
      <c r="F6" s="3">
        <v>-1000000</v>
      </c>
      <c r="G6" s="3">
        <v>-1000000</v>
      </c>
      <c r="H6" s="3">
        <v>-1000000</v>
      </c>
      <c r="I6" s="1">
        <v>0</v>
      </c>
      <c r="J6" s="3">
        <v>-1000000</v>
      </c>
      <c r="K6" s="3">
        <v>-1000000</v>
      </c>
      <c r="L6" s="1">
        <v>0</v>
      </c>
      <c r="M6" s="20">
        <v>0</v>
      </c>
      <c r="AMJ6"/>
      <c r="AMK6"/>
    </row>
    <row r="7" spans="1:1025" x14ac:dyDescent="0.4">
      <c r="A7"/>
      <c r="B7" s="22" t="s">
        <v>6</v>
      </c>
      <c r="C7" s="23">
        <v>0</v>
      </c>
      <c r="D7" s="24">
        <v>0</v>
      </c>
      <c r="E7" s="25">
        <v>0</v>
      </c>
      <c r="F7" s="25">
        <v>-1000000</v>
      </c>
      <c r="G7" s="25">
        <v>-1000000</v>
      </c>
      <c r="H7" s="25">
        <v>-1000000</v>
      </c>
      <c r="I7" s="24">
        <v>0</v>
      </c>
      <c r="J7" s="25">
        <v>-1000000</v>
      </c>
      <c r="K7" s="25">
        <v>-1000000</v>
      </c>
      <c r="L7" s="24">
        <v>0</v>
      </c>
      <c r="M7" s="26">
        <v>0</v>
      </c>
      <c r="AMJ7"/>
      <c r="AMK7"/>
    </row>
    <row r="8" spans="1:1025" x14ac:dyDescent="0.4">
      <c r="A8"/>
      <c r="B8" s="2"/>
      <c r="C8" s="2"/>
      <c r="D8" s="2"/>
      <c r="E8" s="19"/>
      <c r="F8" s="2"/>
      <c r="G8"/>
      <c r="L8"/>
    </row>
    <row r="9" spans="1:1025" x14ac:dyDescent="0.4">
      <c r="A9" s="47"/>
      <c r="B9" s="38"/>
      <c r="C9" s="60" t="s">
        <v>29</v>
      </c>
      <c r="D9" s="60"/>
      <c r="E9" s="60"/>
      <c r="F9" s="60"/>
      <c r="G9" s="28"/>
      <c r="L9"/>
    </row>
    <row r="10" spans="1:1025" x14ac:dyDescent="0.4">
      <c r="A10" s="10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9" t="s">
        <v>35</v>
      </c>
      <c r="L10"/>
    </row>
    <row r="11" spans="1:1025" ht="12.75" customHeight="1" x14ac:dyDescent="0.4">
      <c r="A11" s="58" t="s">
        <v>36</v>
      </c>
      <c r="B11" s="32" t="s">
        <v>31</v>
      </c>
      <c r="C11" s="33">
        <v>1</v>
      </c>
      <c r="D11" s="33">
        <v>0</v>
      </c>
      <c r="E11" s="33">
        <v>0</v>
      </c>
      <c r="F11" s="33">
        <v>0</v>
      </c>
      <c r="G11" s="34">
        <v>0</v>
      </c>
      <c r="L11" s="1" t="s">
        <v>37</v>
      </c>
    </row>
    <row r="12" spans="1:1025" x14ac:dyDescent="0.4">
      <c r="A12" s="58"/>
      <c r="B12" s="32" t="s">
        <v>32</v>
      </c>
      <c r="C12" s="33">
        <f>0.7*0.1</f>
        <v>6.9999999999999993E-2</v>
      </c>
      <c r="D12" s="33">
        <v>0.3</v>
      </c>
      <c r="E12" s="33">
        <f>0.7*0.9</f>
        <v>0.63</v>
      </c>
      <c r="F12" s="33">
        <v>0</v>
      </c>
      <c r="G12" s="34">
        <v>0</v>
      </c>
    </row>
    <row r="13" spans="1:1025" x14ac:dyDescent="0.4">
      <c r="A13" s="58"/>
      <c r="B13" s="32" t="s">
        <v>33</v>
      </c>
      <c r="C13" s="33">
        <v>0</v>
      </c>
      <c r="D13" s="33">
        <v>0</v>
      </c>
      <c r="E13" s="33">
        <v>0</v>
      </c>
      <c r="F13" s="33">
        <v>0</v>
      </c>
      <c r="G13" s="34">
        <v>0</v>
      </c>
    </row>
    <row r="14" spans="1:1025" x14ac:dyDescent="0.4">
      <c r="A14" s="58"/>
      <c r="B14" s="32" t="s">
        <v>34</v>
      </c>
      <c r="C14" s="33">
        <v>0</v>
      </c>
      <c r="D14" s="33">
        <v>0</v>
      </c>
      <c r="E14" s="33">
        <v>0</v>
      </c>
      <c r="F14" s="33">
        <v>0</v>
      </c>
      <c r="G14" s="34">
        <v>0</v>
      </c>
    </row>
    <row r="15" spans="1:1025" x14ac:dyDescent="0.4">
      <c r="A15" s="48"/>
      <c r="B15" s="22" t="s">
        <v>35</v>
      </c>
      <c r="C15" s="23">
        <v>0</v>
      </c>
      <c r="D15" s="23">
        <v>0</v>
      </c>
      <c r="E15" s="23">
        <v>0</v>
      </c>
      <c r="F15" s="23">
        <v>0</v>
      </c>
      <c r="G15" s="36">
        <v>0</v>
      </c>
    </row>
    <row r="16" spans="1:1025" x14ac:dyDescent="0.4">
      <c r="A16" s="12"/>
      <c r="B16" s="12"/>
      <c r="C16" s="2"/>
      <c r="D16" s="2"/>
      <c r="E16" s="2"/>
      <c r="F16" s="2"/>
      <c r="G16"/>
    </row>
    <row r="17" spans="1:7" x14ac:dyDescent="0.4">
      <c r="A17" s="27"/>
      <c r="B17" s="27"/>
      <c r="C17" s="60" t="s">
        <v>29</v>
      </c>
      <c r="D17" s="60"/>
      <c r="E17" s="60"/>
      <c r="F17" s="60"/>
      <c r="G17" s="28"/>
    </row>
    <row r="18" spans="1:7" x14ac:dyDescent="0.4">
      <c r="A18" s="10" t="s">
        <v>38</v>
      </c>
      <c r="B18" s="30"/>
      <c r="C18" s="30" t="s">
        <v>31</v>
      </c>
      <c r="D18" s="30" t="s">
        <v>32</v>
      </c>
      <c r="E18" s="30" t="s">
        <v>33</v>
      </c>
      <c r="F18" s="30" t="s">
        <v>34</v>
      </c>
      <c r="G18" s="39" t="s">
        <v>35</v>
      </c>
    </row>
    <row r="19" spans="1:7" ht="12.75" customHeight="1" x14ac:dyDescent="0.4">
      <c r="A19" s="58" t="s">
        <v>36</v>
      </c>
      <c r="B19" s="32" t="s">
        <v>31</v>
      </c>
      <c r="C19" s="33">
        <v>1</v>
      </c>
      <c r="D19" s="33">
        <v>1</v>
      </c>
      <c r="E19" s="33">
        <v>1</v>
      </c>
      <c r="F19" s="33">
        <v>1</v>
      </c>
      <c r="G19" s="34">
        <v>1</v>
      </c>
    </row>
    <row r="20" spans="1:7" x14ac:dyDescent="0.4">
      <c r="A20" s="58"/>
      <c r="B20" s="32" t="s">
        <v>32</v>
      </c>
      <c r="C20" s="33">
        <v>1</v>
      </c>
      <c r="D20" s="33">
        <v>1</v>
      </c>
      <c r="E20" s="33">
        <v>1</v>
      </c>
      <c r="F20" s="33">
        <v>1</v>
      </c>
      <c r="G20" s="34">
        <v>1</v>
      </c>
    </row>
    <row r="21" spans="1:7" x14ac:dyDescent="0.4">
      <c r="A21" s="58"/>
      <c r="B21" s="32" t="s">
        <v>33</v>
      </c>
      <c r="C21" s="33">
        <v>1</v>
      </c>
      <c r="D21" s="33">
        <v>1</v>
      </c>
      <c r="E21" s="33">
        <v>1</v>
      </c>
      <c r="F21" s="33">
        <v>1</v>
      </c>
      <c r="G21" s="34">
        <v>1</v>
      </c>
    </row>
    <row r="22" spans="1:7" x14ac:dyDescent="0.4">
      <c r="A22" s="58"/>
      <c r="B22" s="32" t="s">
        <v>34</v>
      </c>
      <c r="C22" s="33">
        <v>1</v>
      </c>
      <c r="D22" s="33">
        <v>1</v>
      </c>
      <c r="E22" s="33">
        <v>1</v>
      </c>
      <c r="F22" s="33">
        <v>1</v>
      </c>
      <c r="G22" s="34">
        <v>1</v>
      </c>
    </row>
    <row r="23" spans="1:7" x14ac:dyDescent="0.4">
      <c r="A23" s="40"/>
      <c r="B23" s="22" t="s">
        <v>35</v>
      </c>
      <c r="C23" s="23">
        <v>1</v>
      </c>
      <c r="D23" s="23">
        <v>1</v>
      </c>
      <c r="E23" s="23">
        <v>1</v>
      </c>
      <c r="F23" s="23">
        <v>1</v>
      </c>
      <c r="G23" s="36">
        <v>1</v>
      </c>
    </row>
    <row r="24" spans="1:7" x14ac:dyDescent="0.4">
      <c r="A24"/>
      <c r="B24"/>
      <c r="C24"/>
      <c r="D24"/>
      <c r="E24"/>
      <c r="F24"/>
      <c r="G24"/>
    </row>
    <row r="25" spans="1:7" x14ac:dyDescent="0.4">
      <c r="A25" s="41" t="s">
        <v>39</v>
      </c>
      <c r="B25" s="38"/>
      <c r="C25" s="60" t="s">
        <v>29</v>
      </c>
      <c r="D25" s="60"/>
      <c r="E25" s="60"/>
      <c r="F25" s="60"/>
      <c r="G25" s="28"/>
    </row>
    <row r="26" spans="1:7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7" ht="12.75" customHeight="1" x14ac:dyDescent="0.4">
      <c r="A27" s="58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7" x14ac:dyDescent="0.4">
      <c r="A28" s="58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7" x14ac:dyDescent="0.4">
      <c r="A29" s="58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7" x14ac:dyDescent="0.4">
      <c r="A30" s="58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7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2" spans="1:7" x14ac:dyDescent="0.4">
      <c r="A32" s="5"/>
      <c r="B32"/>
      <c r="C32"/>
      <c r="D32"/>
      <c r="E32"/>
      <c r="F32"/>
      <c r="G32"/>
    </row>
    <row r="33" spans="1:7" ht="25.35" x14ac:dyDescent="0.4">
      <c r="A33" s="41" t="s">
        <v>41</v>
      </c>
      <c r="B33" s="38"/>
      <c r="C33" s="60" t="s">
        <v>29</v>
      </c>
      <c r="D33" s="60"/>
      <c r="E33" s="60"/>
      <c r="F33" s="60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58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58"/>
      <c r="B36" s="32" t="s">
        <v>32</v>
      </c>
      <c r="C36" s="33">
        <v>0.1</v>
      </c>
      <c r="D36" s="33">
        <v>0</v>
      </c>
      <c r="E36" s="33">
        <v>0.9</v>
      </c>
      <c r="F36" s="33">
        <v>0</v>
      </c>
      <c r="G36" s="34">
        <v>0</v>
      </c>
    </row>
    <row r="37" spans="1:7" x14ac:dyDescent="0.4">
      <c r="A37" s="58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58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Christine Sample</cp:lastModifiedBy>
  <cp:revision>35</cp:revision>
  <cp:lastPrinted>2016-01-27T22:26:48Z</cp:lastPrinted>
  <dcterms:created xsi:type="dcterms:W3CDTF">2016-01-28T18:57:58Z</dcterms:created>
  <dcterms:modified xsi:type="dcterms:W3CDTF">2021-03-28T18:34:05Z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