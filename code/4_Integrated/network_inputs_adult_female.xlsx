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mattsson\Seafile\My Seafile Library\Programs\R\Pintail_subsidies\4_Integrated\"/>
    </mc:Choice>
  </mc:AlternateContent>
  <xr:revisionPtr revIDLastSave="0" documentId="13_ncr:1_{766C037C-A786-4646-A345-51340335025E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itial Pop" sheetId="1" r:id="rId1"/>
    <sheet name="Breeding &amp; Fall" sheetId="2" r:id="rId2"/>
    <sheet name="Winter &amp; Spring" sheetId="3" r:id="rId3"/>
    <sheet name="Spring Stopover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" i="2" l="1"/>
  <c r="F19" i="2" l="1"/>
  <c r="B4" i="1"/>
  <c r="B3" i="1"/>
  <c r="B2" i="1"/>
  <c r="E12" i="4" l="1"/>
  <c r="C12" i="4"/>
  <c r="G21" i="2"/>
  <c r="F21" i="2"/>
  <c r="G20" i="2"/>
  <c r="F20" i="2"/>
  <c r="G19" i="2"/>
</calcChain>
</file>

<file path=xl/sharedStrings.xml><?xml version="1.0" encoding="utf-8"?>
<sst xmlns="http://schemas.openxmlformats.org/spreadsheetml/2006/main" count="260" uniqueCount="45">
  <si>
    <t>Node</t>
  </si>
  <si>
    <t>N0 - initial population at start of breeding</t>
  </si>
  <si>
    <t>1, AK</t>
  </si>
  <si>
    <t>2, PR</t>
  </si>
  <si>
    <t>3, NU</t>
  </si>
  <si>
    <t>4, CA</t>
  </si>
  <si>
    <t>5, GC</t>
  </si>
  <si>
    <t>Node attributes ALPHA</t>
  </si>
  <si>
    <t>Adult survival</t>
  </si>
  <si>
    <t>Number of Ponds</t>
  </si>
  <si>
    <t>Reproduction</t>
  </si>
  <si>
    <t>Transitions</t>
  </si>
  <si>
    <t>Max Transition</t>
  </si>
  <si>
    <t>Survival</t>
  </si>
  <si>
    <t>Max Survival</t>
  </si>
  <si>
    <t>Min Survival</t>
  </si>
  <si>
    <t>Tell code to stop</t>
  </si>
  <si>
    <t>Variable Names</t>
  </si>
  <si>
    <t>S</t>
  </si>
  <si>
    <t>P</t>
  </si>
  <si>
    <t>R</t>
  </si>
  <si>
    <t>Delta_0</t>
  </si>
  <si>
    <t>Delta_1</t>
  </si>
  <si>
    <t>Delta_2</t>
  </si>
  <si>
    <t>psi_max</t>
  </si>
  <si>
    <t>b_0</t>
  </si>
  <si>
    <t>b_1</t>
  </si>
  <si>
    <t>S_max</t>
  </si>
  <si>
    <t>S_min</t>
  </si>
  <si>
    <t>STOP</t>
  </si>
  <si>
    <t>Destination</t>
  </si>
  <si>
    <t>pij</t>
  </si>
  <si>
    <t>AK</t>
  </si>
  <si>
    <t>PR</t>
  </si>
  <si>
    <t>NU</t>
  </si>
  <si>
    <t>CA</t>
  </si>
  <si>
    <t>GC</t>
  </si>
  <si>
    <t>Origin</t>
  </si>
  <si>
    <t>NOTES:</t>
  </si>
  <si>
    <t>sij</t>
  </si>
  <si>
    <t>x</t>
  </si>
  <si>
    <t>Hunting Mortality</t>
  </si>
  <si>
    <t>kappa_ij</t>
  </si>
  <si>
    <t>Prob leaving from PR stopover</t>
  </si>
  <si>
    <t>psi_ij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</si>
</sst>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0"/>
      <name val="Arial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3" fontId="0" fillId="0" borderId="0" xfId="0" applyNumberFormat="1"/>
    <xf numFmtId="11" fontId="0" fillId="0" borderId="0" xfId="0" applyNumberFormat="1"/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2" xfId="0" applyFont="1" applyBorder="1" applyAlignment="1">
      <alignment wrapText="1"/>
    </xf>
    <xf numFmtId="0" fontId="2" fillId="0" borderId="0" xfId="0" applyFont="1"/>
    <xf numFmtId="0" fontId="3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3" fillId="0" borderId="0" xfId="0" applyFont="1" applyAlignment="1">
      <alignment horizontal="center"/>
    </xf>
    <xf numFmtId="0" fontId="1" fillId="0" borderId="0" xfId="0" applyFont="1"/>
    <xf numFmtId="0" fontId="4" fillId="0" borderId="0" xfId="0" applyFont="1"/>
    <xf numFmtId="0" fontId="0" fillId="0" borderId="2" xfId="0" applyBorder="1"/>
    <xf numFmtId="0" fontId="0" fillId="0" borderId="5" xfId="0" applyBorder="1" applyAlignment="1">
      <alignment wrapText="1"/>
    </xf>
    <xf numFmtId="0" fontId="3" fillId="0" borderId="5" xfId="0" applyFont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 applyAlignment="1">
      <alignment wrapText="1"/>
    </xf>
    <xf numFmtId="0" fontId="2" fillId="0" borderId="2" xfId="0" applyFont="1" applyBorder="1"/>
    <xf numFmtId="0" fontId="1" fillId="0" borderId="2" xfId="0" applyFont="1" applyBorder="1"/>
    <xf numFmtId="0" fontId="2" fillId="0" borderId="10" xfId="0" applyFont="1" applyBorder="1" applyAlignment="1">
      <alignment vertical="center" wrapText="1"/>
    </xf>
    <xf numFmtId="0" fontId="1" fillId="0" borderId="6" xfId="0" applyFont="1" applyBorder="1"/>
    <xf numFmtId="0" fontId="0" fillId="0" borderId="7" xfId="0" applyBorder="1" applyAlignment="1">
      <alignment wrapText="1"/>
    </xf>
    <xf numFmtId="0" fontId="0" fillId="0" borderId="7" xfId="0" applyBorder="1"/>
    <xf numFmtId="0" fontId="2" fillId="0" borderId="5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/>
    <xf numFmtId="0" fontId="2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620280</xdr:colOff>
      <xdr:row>17</xdr:row>
      <xdr:rowOff>33120</xdr:rowOff>
    </xdr:from>
    <xdr:to>
      <xdr:col>14</xdr:col>
      <xdr:colOff>202680</xdr:colOff>
      <xdr:row>20</xdr:row>
      <xdr:rowOff>34920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8930520" y="3300120"/>
          <a:ext cx="1635840" cy="46872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If a_ij = 0 for all j, then treat it as if R = 0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 editAs="oneCell">
    <xdr:from>
      <xdr:col>11</xdr:col>
      <xdr:colOff>569880</xdr:colOff>
      <xdr:row>9</xdr:row>
      <xdr:rowOff>118080</xdr:rowOff>
    </xdr:from>
    <xdr:to>
      <xdr:col>14</xdr:col>
      <xdr:colOff>142560</xdr:colOff>
      <xdr:row>13</xdr:row>
      <xdr:rowOff>75960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8880120" y="2156400"/>
          <a:ext cx="1626120" cy="57708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Note: Kappafemale=0.1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Kappafemale_juv=0.2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Linked to Kappamale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endParaRPr lang="en-US" sz="1100" b="0" strike="noStrike" spc="-1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191160</xdr:colOff>
      <xdr:row>11</xdr:row>
      <xdr:rowOff>6120</xdr:rowOff>
    </xdr:from>
    <xdr:to>
      <xdr:col>13</xdr:col>
      <xdr:colOff>302400</xdr:colOff>
      <xdr:row>14</xdr:row>
      <xdr:rowOff>11160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8426520" y="2292120"/>
          <a:ext cx="1480320" cy="46224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If a_ij = 0 for all j, then treat it as if R = 0</a:t>
          </a:r>
          <a:endParaRPr lang="en-US" sz="1100" b="0" strike="noStrike" spc="-1"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131040</xdr:colOff>
      <xdr:row>11</xdr:row>
      <xdr:rowOff>8280</xdr:rowOff>
    </xdr:from>
    <xdr:to>
      <xdr:col>12</xdr:col>
      <xdr:colOff>672120</xdr:colOff>
      <xdr:row>14</xdr:row>
      <xdr:rowOff>11520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8366400" y="2303640"/>
          <a:ext cx="1225440" cy="46044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If a_ij = 0 for all j, then treat it as if R = 0</a:t>
          </a:r>
          <a:endParaRPr lang="en-US" sz="1100" b="0" strike="noStrike" spc="-1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zoomScaleNormal="100" workbookViewId="0">
      <pane xSplit="1" topLeftCell="B1" activePane="topRight" state="frozen"/>
      <selection pane="topRight" activeCell="B4" sqref="B4"/>
    </sheetView>
  </sheetViews>
  <sheetFormatPr defaultColWidth="14.44140625" defaultRowHeight="13.2" x14ac:dyDescent="0.25"/>
  <sheetData>
    <row r="1" spans="1:2" ht="15.75" customHeight="1" x14ac:dyDescent="0.25">
      <c r="A1" t="s">
        <v>0</v>
      </c>
      <c r="B1" t="s">
        <v>1</v>
      </c>
    </row>
    <row r="2" spans="1:2" ht="15.75" customHeight="1" x14ac:dyDescent="0.25">
      <c r="A2" s="2" t="s">
        <v>2</v>
      </c>
      <c r="B2" s="3">
        <f>0.5*0.4052288*4000000</f>
        <v>810457.59999999998</v>
      </c>
    </row>
    <row r="3" spans="1:2" ht="15.75" customHeight="1" x14ac:dyDescent="0.25">
      <c r="A3" s="2" t="s">
        <v>3</v>
      </c>
      <c r="B3">
        <f>0.5*(1-0.4052288)*4000000*45/60</f>
        <v>892156.80000000016</v>
      </c>
    </row>
    <row r="4" spans="1:2" ht="15.75" customHeight="1" x14ac:dyDescent="0.25">
      <c r="A4" s="2" t="s">
        <v>4</v>
      </c>
      <c r="B4">
        <f>0.5*(1-0.4052288)*4000000*(1-45/60)</f>
        <v>297385.60000000003</v>
      </c>
    </row>
    <row r="5" spans="1:2" ht="15.75" customHeight="1" x14ac:dyDescent="0.25">
      <c r="A5" s="2" t="s">
        <v>5</v>
      </c>
      <c r="B5">
        <v>0</v>
      </c>
    </row>
    <row r="6" spans="1:2" ht="15.75" customHeight="1" x14ac:dyDescent="0.25">
      <c r="A6" s="2" t="s">
        <v>6</v>
      </c>
      <c r="B6">
        <v>0</v>
      </c>
    </row>
    <row r="12" spans="1:2" x14ac:dyDescent="0.25">
      <c r="B12" s="3"/>
    </row>
    <row r="13" spans="1:2" x14ac:dyDescent="0.25">
      <c r="B13" s="4"/>
    </row>
    <row r="14" spans="1:2" x14ac:dyDescent="0.25">
      <c r="B14" s="4"/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zoomScale="90" zoomScaleNormal="90" workbookViewId="0">
      <selection activeCell="M32" sqref="M32"/>
    </sheetView>
  </sheetViews>
  <sheetFormatPr defaultColWidth="9.77734375" defaultRowHeight="13.2" x14ac:dyDescent="0.25"/>
  <cols>
    <col min="1" max="1" width="19.6640625" style="5" customWidth="1"/>
    <col min="2" max="3" width="9.6640625" customWidth="1"/>
    <col min="4" max="4" width="10.77734375" customWidth="1"/>
    <col min="5" max="16" width="9.6640625" customWidth="1"/>
  </cols>
  <sheetData>
    <row r="1" spans="1:25" s="5" customFormat="1" ht="60" customHeight="1" x14ac:dyDescent="0.25">
      <c r="A1" s="6" t="s">
        <v>7</v>
      </c>
      <c r="C1" s="1" t="s">
        <v>8</v>
      </c>
      <c r="D1" s="7" t="s">
        <v>9</v>
      </c>
      <c r="E1" s="7" t="s">
        <v>10</v>
      </c>
      <c r="F1" s="40" t="s">
        <v>11</v>
      </c>
      <c r="G1" s="40"/>
      <c r="H1" s="40"/>
      <c r="I1" s="8" t="s">
        <v>12</v>
      </c>
      <c r="J1" s="40" t="s">
        <v>13</v>
      </c>
      <c r="K1" s="40"/>
      <c r="L1" s="8" t="s">
        <v>14</v>
      </c>
      <c r="M1" s="9" t="s">
        <v>15</v>
      </c>
      <c r="N1" s="5" t="s">
        <v>16</v>
      </c>
    </row>
    <row r="2" spans="1:25" x14ac:dyDescent="0.25">
      <c r="A2" s="10" t="s">
        <v>17</v>
      </c>
      <c r="C2" s="11" t="s">
        <v>18</v>
      </c>
      <c r="D2" s="12" t="s">
        <v>19</v>
      </c>
      <c r="E2" s="11" t="s">
        <v>20</v>
      </c>
      <c r="F2" s="11" t="s">
        <v>21</v>
      </c>
      <c r="G2" s="11" t="s">
        <v>22</v>
      </c>
      <c r="H2" s="11" t="s">
        <v>23</v>
      </c>
      <c r="I2" s="13" t="s">
        <v>24</v>
      </c>
      <c r="J2" s="11" t="s">
        <v>25</v>
      </c>
      <c r="K2" s="11" t="s">
        <v>26</v>
      </c>
      <c r="L2" s="13" t="s">
        <v>27</v>
      </c>
      <c r="M2" s="14" t="s">
        <v>28</v>
      </c>
      <c r="N2" s="10" t="s">
        <v>29</v>
      </c>
      <c r="O2" s="10"/>
      <c r="P2" s="10"/>
      <c r="Q2" s="10"/>
      <c r="R2" s="10"/>
      <c r="S2" s="10"/>
      <c r="U2" s="10"/>
      <c r="V2" s="10"/>
      <c r="W2" s="10"/>
      <c r="X2" s="10"/>
      <c r="Y2" s="10"/>
    </row>
    <row r="3" spans="1:25" ht="14.4" x14ac:dyDescent="0.3">
      <c r="B3" s="15" t="s">
        <v>2</v>
      </c>
      <c r="C3" s="16">
        <v>0.81</v>
      </c>
      <c r="D3" s="16">
        <v>0</v>
      </c>
      <c r="E3" s="17">
        <v>0.47054299999999999</v>
      </c>
      <c r="F3" s="2">
        <v>-1000000</v>
      </c>
      <c r="G3" s="2">
        <v>-1000000</v>
      </c>
      <c r="H3" s="2">
        <v>-1000000</v>
      </c>
      <c r="I3">
        <v>0</v>
      </c>
      <c r="J3" s="2">
        <v>-1000000</v>
      </c>
      <c r="K3" s="2">
        <v>-1000000</v>
      </c>
      <c r="L3">
        <v>0</v>
      </c>
      <c r="M3" s="18">
        <v>0</v>
      </c>
      <c r="R3" s="3"/>
      <c r="S3" s="3"/>
    </row>
    <row r="4" spans="1:25" x14ac:dyDescent="0.25">
      <c r="B4" s="15" t="s">
        <v>3</v>
      </c>
      <c r="C4" s="16">
        <v>0.81</v>
      </c>
      <c r="D4" s="16">
        <v>3.2</v>
      </c>
      <c r="E4">
        <v>0.82990330000000001</v>
      </c>
      <c r="F4" s="2">
        <v>-1000000</v>
      </c>
      <c r="G4" s="2">
        <v>-1000000</v>
      </c>
      <c r="H4" s="2">
        <v>-1000000</v>
      </c>
      <c r="I4">
        <v>0</v>
      </c>
      <c r="J4" s="2">
        <v>-1000000</v>
      </c>
      <c r="K4" s="2">
        <v>-1000000</v>
      </c>
      <c r="L4">
        <v>0</v>
      </c>
      <c r="M4" s="18">
        <v>0</v>
      </c>
    </row>
    <row r="5" spans="1:25" ht="14.4" x14ac:dyDescent="0.3">
      <c r="B5" s="15" t="s">
        <v>4</v>
      </c>
      <c r="C5" s="16">
        <v>0.81</v>
      </c>
      <c r="D5" s="16">
        <v>0</v>
      </c>
      <c r="E5" s="17">
        <f>E3*EXP(-1)</f>
        <v>0.17310309588713399</v>
      </c>
      <c r="F5" s="2">
        <v>-1000000</v>
      </c>
      <c r="G5" s="2">
        <v>-1000000</v>
      </c>
      <c r="H5" s="2">
        <v>-1000000</v>
      </c>
      <c r="I5">
        <v>0</v>
      </c>
      <c r="J5" s="2">
        <v>-1000000</v>
      </c>
      <c r="K5" s="2">
        <v>-1000000</v>
      </c>
      <c r="L5">
        <v>0</v>
      </c>
      <c r="M5" s="18">
        <v>0</v>
      </c>
    </row>
    <row r="6" spans="1:25" x14ac:dyDescent="0.25">
      <c r="B6" s="15" t="s">
        <v>5</v>
      </c>
      <c r="C6" s="16">
        <v>0</v>
      </c>
      <c r="D6" s="16">
        <v>0</v>
      </c>
      <c r="E6" s="2">
        <v>0</v>
      </c>
      <c r="F6" s="2">
        <v>-1000000</v>
      </c>
      <c r="G6" s="2">
        <v>-1000000</v>
      </c>
      <c r="H6" s="2">
        <v>-1000000</v>
      </c>
      <c r="I6">
        <v>0</v>
      </c>
      <c r="J6" s="2">
        <v>-1000000</v>
      </c>
      <c r="K6" s="2">
        <v>-1000000</v>
      </c>
      <c r="L6">
        <v>0</v>
      </c>
      <c r="M6" s="18">
        <v>0</v>
      </c>
    </row>
    <row r="7" spans="1:25" x14ac:dyDescent="0.25">
      <c r="A7" s="19"/>
      <c r="B7" s="20" t="s">
        <v>6</v>
      </c>
      <c r="C7" s="21">
        <v>0</v>
      </c>
      <c r="D7" s="21">
        <v>0</v>
      </c>
      <c r="E7" s="22">
        <v>0</v>
      </c>
      <c r="F7" s="22">
        <v>-1000000</v>
      </c>
      <c r="G7" s="22">
        <v>-1000000</v>
      </c>
      <c r="H7" s="22">
        <v>-1000000</v>
      </c>
      <c r="I7" s="23">
        <v>0</v>
      </c>
      <c r="J7" s="22">
        <v>-1000000</v>
      </c>
      <c r="K7" s="22">
        <v>-1000000</v>
      </c>
      <c r="L7" s="23">
        <v>0</v>
      </c>
      <c r="M7" s="24">
        <v>0</v>
      </c>
    </row>
    <row r="9" spans="1:25" x14ac:dyDescent="0.25">
      <c r="A9" s="6"/>
      <c r="B9" s="25"/>
      <c r="C9" s="41" t="s">
        <v>30</v>
      </c>
      <c r="D9" s="41"/>
      <c r="E9" s="41"/>
      <c r="F9" s="41"/>
      <c r="G9" s="26"/>
    </row>
    <row r="10" spans="1:25" x14ac:dyDescent="0.25">
      <c r="A10" s="27" t="s">
        <v>31</v>
      </c>
      <c r="B10" s="10"/>
      <c r="C10" s="10" t="s">
        <v>32</v>
      </c>
      <c r="D10" s="10" t="s">
        <v>33</v>
      </c>
      <c r="E10" s="10" t="s">
        <v>34</v>
      </c>
      <c r="F10" s="10" t="s">
        <v>35</v>
      </c>
      <c r="G10" s="28" t="s">
        <v>36</v>
      </c>
      <c r="I10">
        <v>0.558939081</v>
      </c>
      <c r="J10">
        <v>0.382147081</v>
      </c>
    </row>
    <row r="11" spans="1:25" ht="12.75" customHeight="1" x14ac:dyDescent="0.25">
      <c r="A11" s="42" t="s">
        <v>37</v>
      </c>
      <c r="B11" s="15" t="s">
        <v>32</v>
      </c>
      <c r="C11" s="16">
        <v>0</v>
      </c>
      <c r="D11" s="16">
        <v>0</v>
      </c>
      <c r="E11" s="16">
        <v>0</v>
      </c>
      <c r="F11" s="16">
        <v>0.9</v>
      </c>
      <c r="G11" s="29">
        <v>0.1</v>
      </c>
      <c r="J11">
        <v>0.39549859999999998</v>
      </c>
      <c r="L11" t="s">
        <v>38</v>
      </c>
    </row>
    <row r="12" spans="1:25" x14ac:dyDescent="0.25">
      <c r="A12" s="42"/>
      <c r="B12" s="15" t="s">
        <v>33</v>
      </c>
      <c r="C12" s="16">
        <v>0</v>
      </c>
      <c r="D12" s="16">
        <v>0</v>
      </c>
      <c r="E12" s="16">
        <v>0</v>
      </c>
      <c r="F12" s="16">
        <v>0.5</v>
      </c>
      <c r="G12" s="29">
        <v>0.5</v>
      </c>
      <c r="J12">
        <v>0.47054308099999997</v>
      </c>
      <c r="K12">
        <v>0.42735000000000001</v>
      </c>
    </row>
    <row r="13" spans="1:25" x14ac:dyDescent="0.25">
      <c r="A13" s="42"/>
      <c r="B13" s="15" t="s">
        <v>34</v>
      </c>
      <c r="C13" s="16">
        <v>0</v>
      </c>
      <c r="D13" s="16">
        <v>0</v>
      </c>
      <c r="E13" s="16">
        <v>0</v>
      </c>
      <c r="F13" s="16">
        <v>0.5</v>
      </c>
      <c r="G13" s="29">
        <v>0.5</v>
      </c>
    </row>
    <row r="14" spans="1:25" x14ac:dyDescent="0.25">
      <c r="A14" s="42"/>
      <c r="B14" s="15" t="s">
        <v>35</v>
      </c>
      <c r="C14" s="16">
        <v>0</v>
      </c>
      <c r="D14" s="16">
        <v>0</v>
      </c>
      <c r="E14" s="16">
        <v>0</v>
      </c>
      <c r="F14" s="16">
        <v>0</v>
      </c>
      <c r="G14" s="29">
        <v>0</v>
      </c>
      <c r="J14" s="16">
        <v>0.42599999999999999</v>
      </c>
    </row>
    <row r="15" spans="1:25" x14ac:dyDescent="0.25">
      <c r="A15" s="30"/>
      <c r="B15" s="20" t="s">
        <v>36</v>
      </c>
      <c r="C15" s="21">
        <v>0</v>
      </c>
      <c r="D15" s="21">
        <v>0</v>
      </c>
      <c r="E15" s="21">
        <v>0</v>
      </c>
      <c r="F15" s="21">
        <v>0</v>
      </c>
      <c r="G15" s="31">
        <v>0</v>
      </c>
    </row>
    <row r="17" spans="1:13" x14ac:dyDescent="0.25">
      <c r="A17" s="32"/>
      <c r="B17" s="33"/>
      <c r="C17" s="41" t="s">
        <v>30</v>
      </c>
      <c r="D17" s="41"/>
      <c r="E17" s="41"/>
      <c r="F17" s="41"/>
      <c r="G17" s="26"/>
    </row>
    <row r="18" spans="1:13" x14ac:dyDescent="0.25">
      <c r="A18" s="8" t="s">
        <v>39</v>
      </c>
      <c r="B18" s="10"/>
      <c r="C18" s="10" t="s">
        <v>32</v>
      </c>
      <c r="D18" s="10" t="s">
        <v>33</v>
      </c>
      <c r="E18" s="10" t="s">
        <v>34</v>
      </c>
      <c r="F18" s="10" t="s">
        <v>35</v>
      </c>
      <c r="G18" s="28" t="s">
        <v>36</v>
      </c>
      <c r="I18" s="10" t="s">
        <v>40</v>
      </c>
    </row>
    <row r="19" spans="1:13" ht="12.75" customHeight="1" x14ac:dyDescent="0.25">
      <c r="A19" s="43" t="s">
        <v>37</v>
      </c>
      <c r="B19" s="15" t="s">
        <v>32</v>
      </c>
      <c r="C19" s="16">
        <v>0</v>
      </c>
      <c r="D19" s="16">
        <v>0</v>
      </c>
      <c r="E19" s="16">
        <v>0</v>
      </c>
      <c r="F19" s="16">
        <f>0.9-$I$19</f>
        <v>0.94000000000000006</v>
      </c>
      <c r="G19" s="16">
        <f>0.85-$I$19</f>
        <v>0.89</v>
      </c>
      <c r="I19" s="16">
        <v>-0.04</v>
      </c>
      <c r="K19">
        <v>0.39549859999999998</v>
      </c>
    </row>
    <row r="20" spans="1:13" x14ac:dyDescent="0.25">
      <c r="A20" s="43"/>
      <c r="B20" s="15" t="s">
        <v>33</v>
      </c>
      <c r="C20" s="16">
        <v>0</v>
      </c>
      <c r="D20" s="16">
        <v>0</v>
      </c>
      <c r="E20" s="16">
        <v>0</v>
      </c>
      <c r="F20" s="16">
        <f>0.9-$I$19</f>
        <v>0.94000000000000006</v>
      </c>
      <c r="G20" s="16">
        <f>0.9-$I$19</f>
        <v>0.94000000000000006</v>
      </c>
      <c r="K20">
        <v>0.39549859999999998</v>
      </c>
    </row>
    <row r="21" spans="1:13" x14ac:dyDescent="0.25">
      <c r="A21" s="43"/>
      <c r="B21" s="15" t="s">
        <v>34</v>
      </c>
      <c r="C21" s="16">
        <v>0</v>
      </c>
      <c r="D21" s="16">
        <v>0</v>
      </c>
      <c r="E21" s="16">
        <v>0</v>
      </c>
      <c r="F21" s="16">
        <f>0.9-$I$19</f>
        <v>0.94000000000000006</v>
      </c>
      <c r="G21" s="16">
        <f>0.9-$I$19</f>
        <v>0.94000000000000006</v>
      </c>
      <c r="K21">
        <v>0.145495803952088</v>
      </c>
    </row>
    <row r="22" spans="1:13" x14ac:dyDescent="0.25">
      <c r="A22" s="43"/>
      <c r="B22" s="15" t="s">
        <v>35</v>
      </c>
      <c r="C22" s="16">
        <v>0</v>
      </c>
      <c r="D22" s="16">
        <v>0</v>
      </c>
      <c r="E22" s="16">
        <v>0</v>
      </c>
      <c r="F22" s="16">
        <v>0</v>
      </c>
      <c r="G22" s="29">
        <v>0</v>
      </c>
      <c r="K22">
        <v>0</v>
      </c>
      <c r="M22" s="2"/>
    </row>
    <row r="23" spans="1:13" x14ac:dyDescent="0.25">
      <c r="A23" s="34"/>
      <c r="B23" s="20" t="s">
        <v>36</v>
      </c>
      <c r="C23" s="21">
        <v>0</v>
      </c>
      <c r="D23" s="21">
        <v>0</v>
      </c>
      <c r="E23" s="21">
        <v>0</v>
      </c>
      <c r="F23" s="21">
        <v>0</v>
      </c>
      <c r="G23" s="31">
        <v>0</v>
      </c>
      <c r="K23">
        <v>0</v>
      </c>
    </row>
    <row r="25" spans="1:13" x14ac:dyDescent="0.25">
      <c r="A25" s="35" t="s">
        <v>41</v>
      </c>
      <c r="B25" s="33"/>
      <c r="C25" s="41" t="s">
        <v>30</v>
      </c>
      <c r="D25" s="41"/>
      <c r="E25" s="41"/>
      <c r="F25" s="41"/>
      <c r="G25" s="26"/>
    </row>
    <row r="26" spans="1:13" x14ac:dyDescent="0.25">
      <c r="A26" s="8" t="s">
        <v>42</v>
      </c>
      <c r="B26" s="10"/>
      <c r="C26" s="10" t="s">
        <v>32</v>
      </c>
      <c r="D26" s="10" t="s">
        <v>33</v>
      </c>
      <c r="E26" s="10" t="s">
        <v>34</v>
      </c>
      <c r="F26" s="10" t="s">
        <v>35</v>
      </c>
      <c r="G26" s="28" t="s">
        <v>36</v>
      </c>
    </row>
    <row r="27" spans="1:13" ht="12.75" customHeight="1" x14ac:dyDescent="0.25">
      <c r="A27" s="43" t="s">
        <v>37</v>
      </c>
      <c r="B27" s="15" t="s">
        <v>32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</row>
    <row r="28" spans="1:13" x14ac:dyDescent="0.25">
      <c r="A28" s="43"/>
      <c r="B28" s="15" t="s">
        <v>33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</row>
    <row r="29" spans="1:13" x14ac:dyDescent="0.25">
      <c r="A29" s="43"/>
      <c r="B29" s="15" t="s">
        <v>34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</row>
    <row r="30" spans="1:13" x14ac:dyDescent="0.25">
      <c r="A30" s="43"/>
      <c r="B30" s="15" t="s">
        <v>35</v>
      </c>
      <c r="C30" s="16">
        <v>0</v>
      </c>
      <c r="D30" s="16">
        <v>0</v>
      </c>
      <c r="E30" s="16">
        <v>0</v>
      </c>
      <c r="F30" s="16">
        <v>0</v>
      </c>
      <c r="G30" s="29">
        <v>0</v>
      </c>
    </row>
    <row r="31" spans="1:13" x14ac:dyDescent="0.25">
      <c r="A31" s="34"/>
      <c r="B31" s="20" t="s">
        <v>36</v>
      </c>
      <c r="C31" s="21">
        <v>0</v>
      </c>
      <c r="D31" s="21">
        <v>0</v>
      </c>
      <c r="E31" s="21">
        <v>0</v>
      </c>
      <c r="F31" s="21">
        <v>0</v>
      </c>
      <c r="G31" s="31">
        <v>0</v>
      </c>
    </row>
    <row r="33" spans="1:7" ht="26.4" x14ac:dyDescent="0.25">
      <c r="A33" s="35" t="s">
        <v>43</v>
      </c>
      <c r="B33" s="33"/>
      <c r="C33" s="41" t="s">
        <v>30</v>
      </c>
      <c r="D33" s="41"/>
      <c r="E33" s="41"/>
      <c r="F33" s="41"/>
      <c r="G33" s="26"/>
    </row>
    <row r="34" spans="1:7" x14ac:dyDescent="0.25">
      <c r="A34" s="10" t="s">
        <v>44</v>
      </c>
      <c r="B34" s="10"/>
      <c r="C34" s="10" t="s">
        <v>32</v>
      </c>
      <c r="D34" s="10" t="s">
        <v>33</v>
      </c>
      <c r="E34" s="10" t="s">
        <v>34</v>
      </c>
      <c r="F34" s="10" t="s">
        <v>35</v>
      </c>
      <c r="G34" s="28" t="s">
        <v>36</v>
      </c>
    </row>
    <row r="35" spans="1:7" ht="12.75" customHeight="1" x14ac:dyDescent="0.25">
      <c r="A35" s="43" t="s">
        <v>37</v>
      </c>
      <c r="B35" s="15" t="s">
        <v>32</v>
      </c>
      <c r="C35" s="16">
        <v>0</v>
      </c>
      <c r="D35" s="16">
        <v>0</v>
      </c>
      <c r="E35" s="16">
        <v>0</v>
      </c>
      <c r="F35" s="16">
        <v>0</v>
      </c>
      <c r="G35" s="29">
        <v>0</v>
      </c>
    </row>
    <row r="36" spans="1:7" x14ac:dyDescent="0.25">
      <c r="A36" s="43"/>
      <c r="B36" s="15" t="s">
        <v>33</v>
      </c>
      <c r="C36" s="16">
        <v>0</v>
      </c>
      <c r="D36" s="16">
        <v>0</v>
      </c>
      <c r="E36" s="16">
        <v>0</v>
      </c>
      <c r="F36" s="16">
        <v>0</v>
      </c>
      <c r="G36" s="29">
        <v>0</v>
      </c>
    </row>
    <row r="37" spans="1:7" x14ac:dyDescent="0.25">
      <c r="A37" s="43"/>
      <c r="B37" s="15" t="s">
        <v>34</v>
      </c>
      <c r="C37" s="16">
        <v>0</v>
      </c>
      <c r="D37" s="16">
        <v>0</v>
      </c>
      <c r="E37" s="16">
        <v>0</v>
      </c>
      <c r="F37" s="16">
        <v>0</v>
      </c>
      <c r="G37" s="29">
        <v>0</v>
      </c>
    </row>
    <row r="38" spans="1:7" x14ac:dyDescent="0.25">
      <c r="A38" s="43"/>
      <c r="B38" s="15" t="s">
        <v>35</v>
      </c>
      <c r="C38" s="16">
        <v>0</v>
      </c>
      <c r="D38" s="16">
        <v>0</v>
      </c>
      <c r="E38" s="16">
        <v>0</v>
      </c>
      <c r="F38" s="16">
        <v>0</v>
      </c>
      <c r="G38" s="29">
        <v>0</v>
      </c>
    </row>
    <row r="39" spans="1:7" x14ac:dyDescent="0.25">
      <c r="A39" s="34"/>
      <c r="B39" s="20" t="s">
        <v>36</v>
      </c>
      <c r="C39" s="21">
        <v>0</v>
      </c>
      <c r="D39" s="21">
        <v>0</v>
      </c>
      <c r="E39" s="21">
        <v>0</v>
      </c>
      <c r="F39" s="21">
        <v>0</v>
      </c>
      <c r="G39" s="31">
        <v>0</v>
      </c>
    </row>
    <row r="42" spans="1:7" x14ac:dyDescent="0.25">
      <c r="A42" s="36" t="s">
        <v>29</v>
      </c>
    </row>
  </sheetData>
  <mergeCells count="10">
    <mergeCell ref="A19:A22"/>
    <mergeCell ref="C25:F25"/>
    <mergeCell ref="A27:A30"/>
    <mergeCell ref="C33:F33"/>
    <mergeCell ref="A35:A38"/>
    <mergeCell ref="F1:H1"/>
    <mergeCell ref="J1:K1"/>
    <mergeCell ref="C9:F9"/>
    <mergeCell ref="A11:A14"/>
    <mergeCell ref="C17:F17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2"/>
  <sheetViews>
    <sheetView zoomScale="90" zoomScaleNormal="90" workbookViewId="0">
      <selection activeCell="J8" sqref="J8"/>
    </sheetView>
  </sheetViews>
  <sheetFormatPr defaultColWidth="9.6640625" defaultRowHeight="13.2" x14ac:dyDescent="0.25"/>
  <cols>
    <col min="1" max="1" width="19.6640625" customWidth="1"/>
  </cols>
  <sheetData>
    <row r="1" spans="1:14" s="5" customFormat="1" ht="60" customHeight="1" x14ac:dyDescent="0.25">
      <c r="A1" s="6" t="s">
        <v>7</v>
      </c>
      <c r="C1" s="1" t="s">
        <v>8</v>
      </c>
      <c r="D1" s="7" t="s">
        <v>9</v>
      </c>
      <c r="E1" s="7" t="s">
        <v>10</v>
      </c>
      <c r="F1" s="40" t="s">
        <v>11</v>
      </c>
      <c r="G1" s="40"/>
      <c r="H1" s="40"/>
      <c r="I1" s="8" t="s">
        <v>12</v>
      </c>
      <c r="J1" s="40" t="s">
        <v>13</v>
      </c>
      <c r="K1" s="40"/>
      <c r="L1" s="8" t="s">
        <v>14</v>
      </c>
      <c r="M1" s="9" t="s">
        <v>15</v>
      </c>
      <c r="N1" s="5" t="s">
        <v>16</v>
      </c>
    </row>
    <row r="2" spans="1:14" x14ac:dyDescent="0.25">
      <c r="A2" s="10" t="s">
        <v>17</v>
      </c>
      <c r="C2" s="11" t="s">
        <v>18</v>
      </c>
      <c r="D2" s="12" t="s">
        <v>19</v>
      </c>
      <c r="E2" s="11" t="s">
        <v>20</v>
      </c>
      <c r="F2" s="11" t="s">
        <v>21</v>
      </c>
      <c r="G2" s="11" t="s">
        <v>22</v>
      </c>
      <c r="H2" s="11" t="s">
        <v>23</v>
      </c>
      <c r="I2" s="13" t="s">
        <v>24</v>
      </c>
      <c r="J2" s="11" t="s">
        <v>25</v>
      </c>
      <c r="K2" s="11" t="s">
        <v>26</v>
      </c>
      <c r="L2" s="13" t="s">
        <v>27</v>
      </c>
      <c r="M2" s="14" t="s">
        <v>28</v>
      </c>
      <c r="N2" s="10" t="s">
        <v>29</v>
      </c>
    </row>
    <row r="3" spans="1:14" x14ac:dyDescent="0.25">
      <c r="B3" s="15" t="s">
        <v>2</v>
      </c>
      <c r="C3" s="16">
        <v>0</v>
      </c>
      <c r="D3" s="16">
        <v>0</v>
      </c>
      <c r="E3" s="2">
        <v>0</v>
      </c>
      <c r="F3" s="2">
        <v>-1000000</v>
      </c>
      <c r="G3" s="2">
        <v>-1000000</v>
      </c>
      <c r="H3" s="2">
        <v>-1000000</v>
      </c>
      <c r="I3" s="2">
        <v>0</v>
      </c>
      <c r="J3" s="2">
        <v>-1000000</v>
      </c>
      <c r="K3" s="2">
        <v>-1000000</v>
      </c>
      <c r="L3">
        <v>0</v>
      </c>
      <c r="M3" s="18">
        <v>0</v>
      </c>
    </row>
    <row r="4" spans="1:14" x14ac:dyDescent="0.25">
      <c r="B4" s="15" t="s">
        <v>3</v>
      </c>
      <c r="C4" s="16">
        <v>0</v>
      </c>
      <c r="D4" s="16">
        <v>0</v>
      </c>
      <c r="E4" s="2">
        <v>0</v>
      </c>
      <c r="F4" s="2">
        <v>-1000000</v>
      </c>
      <c r="G4" s="2">
        <v>-1000000</v>
      </c>
      <c r="H4" s="2">
        <v>-1000000</v>
      </c>
      <c r="I4" s="2">
        <v>0</v>
      </c>
      <c r="J4" s="2">
        <v>-1000000</v>
      </c>
      <c r="K4" s="2">
        <v>-1000000</v>
      </c>
      <c r="L4">
        <v>0</v>
      </c>
      <c r="M4" s="18">
        <v>0</v>
      </c>
    </row>
    <row r="5" spans="1:14" x14ac:dyDescent="0.25">
      <c r="B5" s="15" t="s">
        <v>4</v>
      </c>
      <c r="C5" s="16">
        <v>0</v>
      </c>
      <c r="D5" s="16">
        <v>0</v>
      </c>
      <c r="E5" s="2">
        <v>0</v>
      </c>
      <c r="F5" s="2">
        <v>-1000000</v>
      </c>
      <c r="G5" s="2">
        <v>-1000000</v>
      </c>
      <c r="H5" s="2">
        <v>-1000000</v>
      </c>
      <c r="I5" s="2">
        <v>0</v>
      </c>
      <c r="J5" s="2">
        <v>-1000000</v>
      </c>
      <c r="K5" s="2">
        <v>-1000000</v>
      </c>
      <c r="L5">
        <v>0</v>
      </c>
      <c r="M5" s="18">
        <v>0</v>
      </c>
    </row>
    <row r="6" spans="1:14" x14ac:dyDescent="0.25">
      <c r="B6" s="15" t="s">
        <v>5</v>
      </c>
      <c r="C6" s="16">
        <v>0.9</v>
      </c>
      <c r="D6" s="16">
        <v>0</v>
      </c>
      <c r="E6" s="2">
        <v>0</v>
      </c>
      <c r="F6" s="2">
        <v>-1000000</v>
      </c>
      <c r="G6" s="2">
        <v>-1000000</v>
      </c>
      <c r="H6" s="2">
        <v>-1000000</v>
      </c>
      <c r="I6" s="2">
        <v>0</v>
      </c>
      <c r="J6" s="2">
        <v>4</v>
      </c>
      <c r="K6" s="2">
        <v>-1.5E-6</v>
      </c>
      <c r="L6">
        <v>0.96</v>
      </c>
      <c r="M6" s="18">
        <v>0.84</v>
      </c>
    </row>
    <row r="7" spans="1:14" x14ac:dyDescent="0.25">
      <c r="A7" s="23"/>
      <c r="B7" s="20" t="s">
        <v>6</v>
      </c>
      <c r="C7" s="21">
        <v>0.9</v>
      </c>
      <c r="D7" s="21">
        <v>0</v>
      </c>
      <c r="E7" s="22">
        <v>0</v>
      </c>
      <c r="F7" s="22">
        <v>-1000000</v>
      </c>
      <c r="G7" s="22">
        <v>-1000000</v>
      </c>
      <c r="H7" s="22">
        <v>-1000000</v>
      </c>
      <c r="I7" s="22">
        <v>0</v>
      </c>
      <c r="J7" s="22">
        <v>3</v>
      </c>
      <c r="K7" s="22">
        <v>-1.5E-6</v>
      </c>
      <c r="L7" s="23">
        <v>0.96</v>
      </c>
      <c r="M7" s="24">
        <v>0.84</v>
      </c>
    </row>
    <row r="9" spans="1:14" x14ac:dyDescent="0.25">
      <c r="A9" s="33"/>
      <c r="B9" s="33"/>
      <c r="C9" s="41" t="s">
        <v>30</v>
      </c>
      <c r="D9" s="41"/>
      <c r="E9" s="41"/>
      <c r="F9" s="41"/>
      <c r="G9" s="26"/>
    </row>
    <row r="10" spans="1:14" x14ac:dyDescent="0.25">
      <c r="A10" s="10" t="s">
        <v>31</v>
      </c>
      <c r="B10" s="10"/>
      <c r="C10" s="10" t="s">
        <v>32</v>
      </c>
      <c r="D10" s="10" t="s">
        <v>33</v>
      </c>
      <c r="E10" s="10" t="s">
        <v>34</v>
      </c>
      <c r="F10" s="10" t="s">
        <v>35</v>
      </c>
      <c r="G10" s="28" t="s">
        <v>36</v>
      </c>
    </row>
    <row r="11" spans="1:14" x14ac:dyDescent="0.25">
      <c r="A11" s="44" t="s">
        <v>37</v>
      </c>
      <c r="B11" s="15" t="s">
        <v>32</v>
      </c>
      <c r="C11" s="16">
        <v>0</v>
      </c>
      <c r="D11" s="16">
        <v>0</v>
      </c>
      <c r="E11" s="16">
        <v>0</v>
      </c>
      <c r="F11" s="16">
        <v>0</v>
      </c>
      <c r="G11" s="29">
        <v>0</v>
      </c>
      <c r="L11" t="s">
        <v>38</v>
      </c>
    </row>
    <row r="12" spans="1:14" x14ac:dyDescent="0.25">
      <c r="A12" s="44"/>
      <c r="B12" s="15" t="s">
        <v>33</v>
      </c>
      <c r="C12" s="16">
        <v>0</v>
      </c>
      <c r="D12" s="16">
        <v>0</v>
      </c>
      <c r="E12" s="16">
        <v>0</v>
      </c>
      <c r="F12" s="16">
        <v>0</v>
      </c>
      <c r="G12" s="29">
        <v>0</v>
      </c>
    </row>
    <row r="13" spans="1:14" x14ac:dyDescent="0.25">
      <c r="A13" s="44"/>
      <c r="B13" s="15" t="s">
        <v>34</v>
      </c>
      <c r="C13" s="16">
        <v>0</v>
      </c>
      <c r="D13" s="16">
        <v>0</v>
      </c>
      <c r="E13" s="16">
        <v>0</v>
      </c>
      <c r="F13" s="16">
        <v>0</v>
      </c>
      <c r="G13" s="29">
        <v>0</v>
      </c>
    </row>
    <row r="14" spans="1:14" x14ac:dyDescent="0.25">
      <c r="A14" s="44"/>
      <c r="B14" s="15" t="s">
        <v>35</v>
      </c>
      <c r="C14" s="16">
        <v>0.54</v>
      </c>
      <c r="D14" s="16">
        <v>0.46</v>
      </c>
      <c r="E14" s="16">
        <v>0</v>
      </c>
      <c r="F14" s="16">
        <v>0</v>
      </c>
      <c r="G14" s="29">
        <v>0</v>
      </c>
    </row>
    <row r="15" spans="1:14" x14ac:dyDescent="0.25">
      <c r="A15" s="37"/>
      <c r="B15" s="20" t="s">
        <v>36</v>
      </c>
      <c r="C15" s="21">
        <v>0.1</v>
      </c>
      <c r="D15" s="21">
        <v>0.9</v>
      </c>
      <c r="E15" s="21">
        <v>0</v>
      </c>
      <c r="F15" s="21">
        <v>0</v>
      </c>
      <c r="G15" s="31">
        <v>0</v>
      </c>
    </row>
    <row r="16" spans="1:14" x14ac:dyDescent="0.25">
      <c r="A16" s="10"/>
      <c r="B16" s="10"/>
    </row>
    <row r="17" spans="1:7" x14ac:dyDescent="0.25">
      <c r="A17" s="25"/>
      <c r="B17" s="25"/>
      <c r="C17" s="41" t="s">
        <v>30</v>
      </c>
      <c r="D17" s="41"/>
      <c r="E17" s="41"/>
      <c r="F17" s="41"/>
      <c r="G17" s="26"/>
    </row>
    <row r="18" spans="1:7" x14ac:dyDescent="0.25">
      <c r="A18" s="10" t="s">
        <v>39</v>
      </c>
      <c r="B18" s="10"/>
      <c r="C18" s="10" t="s">
        <v>32</v>
      </c>
      <c r="D18" s="10" t="s">
        <v>33</v>
      </c>
      <c r="E18" s="10" t="s">
        <v>34</v>
      </c>
      <c r="F18" s="10" t="s">
        <v>35</v>
      </c>
      <c r="G18" s="28" t="s">
        <v>36</v>
      </c>
    </row>
    <row r="19" spans="1:7" x14ac:dyDescent="0.25">
      <c r="A19" s="44" t="s">
        <v>37</v>
      </c>
      <c r="B19" s="15" t="s">
        <v>32</v>
      </c>
      <c r="C19" s="16">
        <v>1</v>
      </c>
      <c r="D19" s="16">
        <v>1</v>
      </c>
      <c r="E19" s="16">
        <v>1</v>
      </c>
      <c r="F19" s="16">
        <v>1</v>
      </c>
      <c r="G19" s="29">
        <v>1</v>
      </c>
    </row>
    <row r="20" spans="1:7" x14ac:dyDescent="0.25">
      <c r="A20" s="44"/>
      <c r="B20" s="15" t="s">
        <v>33</v>
      </c>
      <c r="C20" s="16">
        <v>1</v>
      </c>
      <c r="D20" s="16">
        <v>1</v>
      </c>
      <c r="E20" s="16">
        <v>1</v>
      </c>
      <c r="F20" s="16">
        <v>1</v>
      </c>
      <c r="G20" s="29">
        <v>1</v>
      </c>
    </row>
    <row r="21" spans="1:7" x14ac:dyDescent="0.25">
      <c r="A21" s="44"/>
      <c r="B21" s="15" t="s">
        <v>34</v>
      </c>
      <c r="C21" s="16">
        <v>1</v>
      </c>
      <c r="D21" s="16">
        <v>1</v>
      </c>
      <c r="E21" s="16">
        <v>1</v>
      </c>
      <c r="F21" s="16">
        <v>1</v>
      </c>
      <c r="G21" s="29">
        <v>1</v>
      </c>
    </row>
    <row r="22" spans="1:7" x14ac:dyDescent="0.25">
      <c r="A22" s="44"/>
      <c r="B22" s="15" t="s">
        <v>35</v>
      </c>
      <c r="C22" s="16">
        <v>1</v>
      </c>
      <c r="D22" s="16">
        <v>1</v>
      </c>
      <c r="E22" s="16">
        <v>1</v>
      </c>
      <c r="F22" s="16">
        <v>1</v>
      </c>
      <c r="G22" s="29">
        <v>1</v>
      </c>
    </row>
    <row r="23" spans="1:7" x14ac:dyDescent="0.25">
      <c r="A23" s="38"/>
      <c r="B23" s="20" t="s">
        <v>36</v>
      </c>
      <c r="C23" s="21">
        <v>1</v>
      </c>
      <c r="D23" s="21">
        <v>1</v>
      </c>
      <c r="E23" s="21">
        <v>1</v>
      </c>
      <c r="F23" s="21">
        <v>1</v>
      </c>
      <c r="G23" s="31">
        <v>1</v>
      </c>
    </row>
    <row r="25" spans="1:7" x14ac:dyDescent="0.25">
      <c r="A25" s="35" t="s">
        <v>41</v>
      </c>
      <c r="B25" s="33"/>
      <c r="C25" s="41" t="s">
        <v>30</v>
      </c>
      <c r="D25" s="41"/>
      <c r="E25" s="41"/>
      <c r="F25" s="41"/>
      <c r="G25" s="26"/>
    </row>
    <row r="26" spans="1:7" x14ac:dyDescent="0.25">
      <c r="A26" s="8" t="s">
        <v>42</v>
      </c>
      <c r="B26" s="10"/>
      <c r="C26" s="10" t="s">
        <v>32</v>
      </c>
      <c r="D26" s="10" t="s">
        <v>33</v>
      </c>
      <c r="E26" s="10" t="s">
        <v>34</v>
      </c>
      <c r="F26" s="10" t="s">
        <v>35</v>
      </c>
      <c r="G26" s="28" t="s">
        <v>36</v>
      </c>
    </row>
    <row r="27" spans="1:7" ht="12.75" customHeight="1" x14ac:dyDescent="0.25">
      <c r="A27" s="43" t="s">
        <v>37</v>
      </c>
      <c r="B27" s="15" t="s">
        <v>32</v>
      </c>
      <c r="C27" s="16">
        <v>0</v>
      </c>
      <c r="D27" s="16">
        <v>0</v>
      </c>
      <c r="E27" s="16">
        <v>0</v>
      </c>
      <c r="F27" s="16">
        <v>0</v>
      </c>
      <c r="G27" s="29">
        <v>0</v>
      </c>
    </row>
    <row r="28" spans="1:7" x14ac:dyDescent="0.25">
      <c r="A28" s="43"/>
      <c r="B28" s="15" t="s">
        <v>33</v>
      </c>
      <c r="C28" s="16">
        <v>0</v>
      </c>
      <c r="D28" s="16">
        <v>0</v>
      </c>
      <c r="E28" s="16">
        <v>0</v>
      </c>
      <c r="F28" s="16">
        <v>0</v>
      </c>
      <c r="G28" s="29">
        <v>0</v>
      </c>
    </row>
    <row r="29" spans="1:7" x14ac:dyDescent="0.25">
      <c r="A29" s="43"/>
      <c r="B29" s="15" t="s">
        <v>34</v>
      </c>
      <c r="C29" s="16">
        <v>0</v>
      </c>
      <c r="D29" s="16">
        <v>0</v>
      </c>
      <c r="E29" s="16">
        <v>0</v>
      </c>
      <c r="F29" s="16">
        <v>0</v>
      </c>
      <c r="G29" s="29">
        <v>0</v>
      </c>
    </row>
    <row r="30" spans="1:7" x14ac:dyDescent="0.25">
      <c r="A30" s="43"/>
      <c r="B30" s="15" t="s">
        <v>35</v>
      </c>
      <c r="C30" s="16">
        <v>0</v>
      </c>
      <c r="D30" s="16">
        <v>0</v>
      </c>
      <c r="E30" s="16">
        <v>0</v>
      </c>
      <c r="F30" s="16">
        <v>0</v>
      </c>
      <c r="G30" s="29">
        <v>0</v>
      </c>
    </row>
    <row r="31" spans="1:7" x14ac:dyDescent="0.25">
      <c r="A31" s="34"/>
      <c r="B31" s="20" t="s">
        <v>36</v>
      </c>
      <c r="C31" s="21">
        <v>0</v>
      </c>
      <c r="D31" s="21">
        <v>0</v>
      </c>
      <c r="E31" s="21">
        <v>0</v>
      </c>
      <c r="F31" s="21">
        <v>0</v>
      </c>
      <c r="G31" s="31">
        <v>0</v>
      </c>
    </row>
    <row r="32" spans="1:7" x14ac:dyDescent="0.25">
      <c r="A32" s="5"/>
    </row>
    <row r="33" spans="1:7" ht="26.4" x14ac:dyDescent="0.25">
      <c r="A33" s="35" t="s">
        <v>43</v>
      </c>
      <c r="B33" s="33"/>
      <c r="C33" s="41" t="s">
        <v>30</v>
      </c>
      <c r="D33" s="41"/>
      <c r="E33" s="41"/>
      <c r="F33" s="41"/>
      <c r="G33" s="26"/>
    </row>
    <row r="34" spans="1:7" x14ac:dyDescent="0.25">
      <c r="A34" s="10" t="s">
        <v>44</v>
      </c>
      <c r="B34" s="10"/>
      <c r="C34" s="10" t="s">
        <v>32</v>
      </c>
      <c r="D34" s="10" t="s">
        <v>33</v>
      </c>
      <c r="E34" s="10" t="s">
        <v>34</v>
      </c>
      <c r="F34" s="10" t="s">
        <v>35</v>
      </c>
      <c r="G34" s="28" t="s">
        <v>36</v>
      </c>
    </row>
    <row r="35" spans="1:7" ht="12.75" customHeight="1" x14ac:dyDescent="0.25">
      <c r="A35" s="43" t="s">
        <v>37</v>
      </c>
      <c r="B35" s="15" t="s">
        <v>32</v>
      </c>
      <c r="C35" s="16">
        <v>0</v>
      </c>
      <c r="D35" s="16">
        <v>0</v>
      </c>
      <c r="E35" s="16">
        <v>0</v>
      </c>
      <c r="F35" s="16">
        <v>0</v>
      </c>
      <c r="G35" s="29">
        <v>0</v>
      </c>
    </row>
    <row r="36" spans="1:7" x14ac:dyDescent="0.25">
      <c r="A36" s="43"/>
      <c r="B36" s="15" t="s">
        <v>33</v>
      </c>
      <c r="C36" s="16">
        <v>0</v>
      </c>
      <c r="D36" s="16">
        <v>0</v>
      </c>
      <c r="E36" s="16">
        <v>0</v>
      </c>
      <c r="F36" s="16">
        <v>0</v>
      </c>
      <c r="G36" s="29">
        <v>0</v>
      </c>
    </row>
    <row r="37" spans="1:7" x14ac:dyDescent="0.25">
      <c r="A37" s="43"/>
      <c r="B37" s="15" t="s">
        <v>34</v>
      </c>
      <c r="C37" s="16">
        <v>0</v>
      </c>
      <c r="D37" s="16">
        <v>0</v>
      </c>
      <c r="E37" s="16">
        <v>0</v>
      </c>
      <c r="F37" s="16">
        <v>0</v>
      </c>
      <c r="G37" s="29">
        <v>0</v>
      </c>
    </row>
    <row r="38" spans="1:7" x14ac:dyDescent="0.25">
      <c r="A38" s="43"/>
      <c r="B38" s="15" t="s">
        <v>35</v>
      </c>
      <c r="C38" s="16">
        <v>0</v>
      </c>
      <c r="D38" s="16">
        <v>0</v>
      </c>
      <c r="E38" s="16">
        <v>0</v>
      </c>
      <c r="F38" s="16">
        <v>0</v>
      </c>
      <c r="G38" s="29">
        <v>0</v>
      </c>
    </row>
    <row r="39" spans="1:7" x14ac:dyDescent="0.25">
      <c r="A39" s="34"/>
      <c r="B39" s="20" t="s">
        <v>36</v>
      </c>
      <c r="C39" s="21">
        <v>0</v>
      </c>
      <c r="D39" s="21">
        <v>0</v>
      </c>
      <c r="E39" s="21">
        <v>0</v>
      </c>
      <c r="F39" s="21">
        <v>0</v>
      </c>
      <c r="G39" s="31">
        <v>0</v>
      </c>
    </row>
    <row r="42" spans="1:7" x14ac:dyDescent="0.25">
      <c r="A42" s="36" t="s">
        <v>29</v>
      </c>
    </row>
  </sheetData>
  <mergeCells count="10">
    <mergeCell ref="A19:A22"/>
    <mergeCell ref="C25:F25"/>
    <mergeCell ref="A27:A30"/>
    <mergeCell ref="C33:F33"/>
    <mergeCell ref="A35:A38"/>
    <mergeCell ref="F1:H1"/>
    <mergeCell ref="J1:K1"/>
    <mergeCell ref="C9:F9"/>
    <mergeCell ref="A11:A14"/>
    <mergeCell ref="C17:F17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2"/>
  <sheetViews>
    <sheetView zoomScale="90" zoomScaleNormal="90" workbookViewId="0">
      <selection activeCell="G14" sqref="G14"/>
    </sheetView>
  </sheetViews>
  <sheetFormatPr defaultColWidth="9.6640625" defaultRowHeight="13.2" x14ac:dyDescent="0.25"/>
  <cols>
    <col min="1" max="1" width="19.6640625" style="5" customWidth="1"/>
  </cols>
  <sheetData>
    <row r="1" spans="1:16" s="5" customFormat="1" ht="60" customHeight="1" x14ac:dyDescent="0.25">
      <c r="A1" s="6" t="s">
        <v>7</v>
      </c>
      <c r="C1" s="1" t="s">
        <v>8</v>
      </c>
      <c r="D1" s="7" t="s">
        <v>9</v>
      </c>
      <c r="E1" s="7" t="s">
        <v>10</v>
      </c>
      <c r="F1" s="40" t="s">
        <v>11</v>
      </c>
      <c r="G1" s="40"/>
      <c r="H1" s="40"/>
      <c r="I1" s="8" t="s">
        <v>12</v>
      </c>
      <c r="J1" s="40" t="s">
        <v>13</v>
      </c>
      <c r="K1" s="40"/>
      <c r="L1" s="8" t="s">
        <v>14</v>
      </c>
      <c r="M1" s="9" t="s">
        <v>15</v>
      </c>
      <c r="N1" s="5" t="s">
        <v>16</v>
      </c>
    </row>
    <row r="2" spans="1:16" x14ac:dyDescent="0.25">
      <c r="A2" s="10" t="s">
        <v>17</v>
      </c>
      <c r="C2" s="11" t="s">
        <v>18</v>
      </c>
      <c r="D2" s="12" t="s">
        <v>19</v>
      </c>
      <c r="E2" s="11" t="s">
        <v>20</v>
      </c>
      <c r="F2" s="11" t="s">
        <v>21</v>
      </c>
      <c r="G2" s="11" t="s">
        <v>22</v>
      </c>
      <c r="H2" s="11" t="s">
        <v>23</v>
      </c>
      <c r="I2" s="13" t="s">
        <v>24</v>
      </c>
      <c r="J2" s="11" t="s">
        <v>25</v>
      </c>
      <c r="K2" s="11" t="s">
        <v>26</v>
      </c>
      <c r="L2" s="13" t="s">
        <v>27</v>
      </c>
      <c r="M2" s="14" t="s">
        <v>28</v>
      </c>
      <c r="N2" s="10" t="s">
        <v>29</v>
      </c>
      <c r="O2" s="10"/>
      <c r="P2" s="10"/>
    </row>
    <row r="3" spans="1:16" x14ac:dyDescent="0.25">
      <c r="B3" s="15" t="s">
        <v>2</v>
      </c>
      <c r="C3" s="16">
        <v>1</v>
      </c>
      <c r="D3">
        <v>0</v>
      </c>
      <c r="E3" s="2">
        <v>0</v>
      </c>
      <c r="F3" s="2">
        <v>-1000000</v>
      </c>
      <c r="G3" s="2">
        <v>-1000000</v>
      </c>
      <c r="H3" s="2">
        <v>-1000000</v>
      </c>
      <c r="I3">
        <v>0</v>
      </c>
      <c r="J3" s="2">
        <v>-1000000</v>
      </c>
      <c r="K3" s="2">
        <v>-1000000</v>
      </c>
      <c r="L3">
        <v>0</v>
      </c>
      <c r="M3" s="18">
        <v>0</v>
      </c>
    </row>
    <row r="4" spans="1:16" x14ac:dyDescent="0.25">
      <c r="B4" s="15" t="s">
        <v>3</v>
      </c>
      <c r="C4" s="16">
        <v>1</v>
      </c>
      <c r="D4">
        <v>3.2</v>
      </c>
      <c r="E4" s="2">
        <v>0</v>
      </c>
      <c r="F4" s="2">
        <v>-3</v>
      </c>
      <c r="G4" s="2">
        <v>9.9999999999999995E-7</v>
      </c>
      <c r="H4" s="2">
        <v>0.1</v>
      </c>
      <c r="I4">
        <v>0.7</v>
      </c>
      <c r="J4" s="2">
        <v>-1000000</v>
      </c>
      <c r="K4" s="2">
        <v>-1000000</v>
      </c>
      <c r="L4">
        <v>0</v>
      </c>
      <c r="M4" s="18">
        <v>0</v>
      </c>
    </row>
    <row r="5" spans="1:16" x14ac:dyDescent="0.25">
      <c r="B5" s="15" t="s">
        <v>4</v>
      </c>
      <c r="C5" s="16">
        <v>0</v>
      </c>
      <c r="D5">
        <v>0</v>
      </c>
      <c r="E5" s="2">
        <v>0</v>
      </c>
      <c r="F5" s="2">
        <v>-1000000</v>
      </c>
      <c r="G5" s="2">
        <v>-1000000</v>
      </c>
      <c r="H5" s="2">
        <v>-1000000</v>
      </c>
      <c r="I5">
        <v>0</v>
      </c>
      <c r="J5" s="2">
        <v>-1000000</v>
      </c>
      <c r="K5" s="2">
        <v>-1000000</v>
      </c>
      <c r="L5">
        <v>0</v>
      </c>
      <c r="M5" s="18">
        <v>0</v>
      </c>
    </row>
    <row r="6" spans="1:16" x14ac:dyDescent="0.25">
      <c r="B6" s="15" t="s">
        <v>5</v>
      </c>
      <c r="C6" s="16">
        <v>0</v>
      </c>
      <c r="D6">
        <v>0</v>
      </c>
      <c r="E6" s="2">
        <v>0</v>
      </c>
      <c r="F6" s="2">
        <v>-1000000</v>
      </c>
      <c r="G6" s="2">
        <v>-1000000</v>
      </c>
      <c r="H6" s="2">
        <v>-1000000</v>
      </c>
      <c r="I6">
        <v>0</v>
      </c>
      <c r="J6" s="2">
        <v>-1000000</v>
      </c>
      <c r="K6" s="2">
        <v>-1000000</v>
      </c>
      <c r="L6">
        <v>0</v>
      </c>
      <c r="M6" s="18">
        <v>0</v>
      </c>
    </row>
    <row r="7" spans="1:16" x14ac:dyDescent="0.25">
      <c r="B7" s="20" t="s">
        <v>6</v>
      </c>
      <c r="C7" s="21">
        <v>0</v>
      </c>
      <c r="D7" s="23">
        <v>0</v>
      </c>
      <c r="E7" s="22">
        <v>0</v>
      </c>
      <c r="F7" s="22">
        <v>-1000000</v>
      </c>
      <c r="G7" s="22">
        <v>-1000000</v>
      </c>
      <c r="H7" s="22">
        <v>-1000000</v>
      </c>
      <c r="I7" s="23">
        <v>0</v>
      </c>
      <c r="J7" s="22">
        <v>-1000000</v>
      </c>
      <c r="K7" s="22">
        <v>-1000000</v>
      </c>
      <c r="L7" s="23">
        <v>0</v>
      </c>
      <c r="M7" s="24">
        <v>0</v>
      </c>
    </row>
    <row r="8" spans="1:16" x14ac:dyDescent="0.25">
      <c r="E8" s="16"/>
    </row>
    <row r="9" spans="1:16" x14ac:dyDescent="0.25">
      <c r="A9" s="33"/>
      <c r="B9" s="33"/>
      <c r="C9" s="41" t="s">
        <v>30</v>
      </c>
      <c r="D9" s="41"/>
      <c r="E9" s="41"/>
      <c r="F9" s="41"/>
      <c r="G9" s="26"/>
    </row>
    <row r="10" spans="1:16" x14ac:dyDescent="0.25">
      <c r="A10" s="8" t="s">
        <v>31</v>
      </c>
      <c r="B10" s="10"/>
      <c r="C10" s="10" t="s">
        <v>32</v>
      </c>
      <c r="D10" s="10" t="s">
        <v>33</v>
      </c>
      <c r="E10" s="10" t="s">
        <v>34</v>
      </c>
      <c r="F10" s="10" t="s">
        <v>35</v>
      </c>
      <c r="G10" s="28" t="s">
        <v>36</v>
      </c>
    </row>
    <row r="11" spans="1:16" ht="12.75" customHeight="1" x14ac:dyDescent="0.25">
      <c r="A11" s="43" t="s">
        <v>37</v>
      </c>
      <c r="B11" s="15" t="s">
        <v>32</v>
      </c>
      <c r="C11" s="16">
        <v>1</v>
      </c>
      <c r="D11" s="16">
        <v>0</v>
      </c>
      <c r="E11" s="16">
        <v>0</v>
      </c>
      <c r="F11" s="16">
        <v>0</v>
      </c>
      <c r="G11" s="29">
        <v>0</v>
      </c>
      <c r="L11" t="s">
        <v>38</v>
      </c>
    </row>
    <row r="12" spans="1:16" x14ac:dyDescent="0.25">
      <c r="A12" s="43"/>
      <c r="B12" s="15" t="s">
        <v>33</v>
      </c>
      <c r="C12" s="16">
        <f>0.7*0.1</f>
        <v>6.9999999999999993E-2</v>
      </c>
      <c r="D12" s="16">
        <v>0.3</v>
      </c>
      <c r="E12" s="16">
        <f>0.7*0.9</f>
        <v>0.63</v>
      </c>
      <c r="F12" s="16">
        <v>0</v>
      </c>
      <c r="G12" s="29">
        <v>0</v>
      </c>
    </row>
    <row r="13" spans="1:16" x14ac:dyDescent="0.25">
      <c r="A13" s="43"/>
      <c r="B13" s="15" t="s">
        <v>34</v>
      </c>
      <c r="C13" s="16">
        <v>0</v>
      </c>
      <c r="D13" s="16">
        <v>0</v>
      </c>
      <c r="E13" s="16">
        <v>0</v>
      </c>
      <c r="F13" s="16">
        <v>0</v>
      </c>
      <c r="G13" s="29">
        <v>0</v>
      </c>
    </row>
    <row r="14" spans="1:16" x14ac:dyDescent="0.25">
      <c r="A14" s="43"/>
      <c r="B14" s="15" t="s">
        <v>35</v>
      </c>
      <c r="C14" s="16">
        <v>0</v>
      </c>
      <c r="D14" s="16">
        <v>0</v>
      </c>
      <c r="E14" s="16">
        <v>0</v>
      </c>
      <c r="F14" s="16">
        <v>0</v>
      </c>
      <c r="G14" s="29">
        <v>0</v>
      </c>
    </row>
    <row r="15" spans="1:16" x14ac:dyDescent="0.25">
      <c r="A15" s="39"/>
      <c r="B15" s="20" t="s">
        <v>36</v>
      </c>
      <c r="C15" s="21">
        <v>0</v>
      </c>
      <c r="D15" s="21">
        <v>0</v>
      </c>
      <c r="E15" s="21">
        <v>0</v>
      </c>
      <c r="F15" s="21">
        <v>0</v>
      </c>
      <c r="G15" s="31">
        <v>0</v>
      </c>
    </row>
    <row r="16" spans="1:16" x14ac:dyDescent="0.25">
      <c r="A16" s="10"/>
      <c r="B16" s="10"/>
    </row>
    <row r="17" spans="1:7" x14ac:dyDescent="0.25">
      <c r="A17" s="25"/>
      <c r="B17" s="25"/>
      <c r="C17" s="41" t="s">
        <v>30</v>
      </c>
      <c r="D17" s="41"/>
      <c r="E17" s="41"/>
      <c r="F17" s="41"/>
      <c r="G17" s="26"/>
    </row>
    <row r="18" spans="1:7" x14ac:dyDescent="0.25">
      <c r="A18" s="8" t="s">
        <v>39</v>
      </c>
      <c r="B18" s="10"/>
      <c r="C18" s="10" t="s">
        <v>32</v>
      </c>
      <c r="D18" s="10" t="s">
        <v>33</v>
      </c>
      <c r="E18" s="10" t="s">
        <v>34</v>
      </c>
      <c r="F18" s="10" t="s">
        <v>35</v>
      </c>
      <c r="G18" s="28" t="s">
        <v>36</v>
      </c>
    </row>
    <row r="19" spans="1:7" ht="12.75" customHeight="1" x14ac:dyDescent="0.25">
      <c r="A19" s="43" t="s">
        <v>37</v>
      </c>
      <c r="B19" s="15" t="s">
        <v>32</v>
      </c>
      <c r="C19" s="16">
        <v>1</v>
      </c>
      <c r="D19" s="16">
        <v>1</v>
      </c>
      <c r="E19" s="16">
        <v>1</v>
      </c>
      <c r="F19" s="16">
        <v>1</v>
      </c>
      <c r="G19" s="29">
        <v>1</v>
      </c>
    </row>
    <row r="20" spans="1:7" x14ac:dyDescent="0.25">
      <c r="A20" s="43"/>
      <c r="B20" s="15" t="s">
        <v>33</v>
      </c>
      <c r="C20" s="16">
        <v>1</v>
      </c>
      <c r="D20" s="16">
        <v>1</v>
      </c>
      <c r="E20" s="16">
        <v>1</v>
      </c>
      <c r="F20" s="16">
        <v>1</v>
      </c>
      <c r="G20" s="29">
        <v>1</v>
      </c>
    </row>
    <row r="21" spans="1:7" x14ac:dyDescent="0.25">
      <c r="A21" s="43"/>
      <c r="B21" s="15" t="s">
        <v>34</v>
      </c>
      <c r="C21" s="16">
        <v>1</v>
      </c>
      <c r="D21" s="16">
        <v>1</v>
      </c>
      <c r="E21" s="16">
        <v>1</v>
      </c>
      <c r="F21" s="16">
        <v>1</v>
      </c>
      <c r="G21" s="29">
        <v>1</v>
      </c>
    </row>
    <row r="22" spans="1:7" x14ac:dyDescent="0.25">
      <c r="A22" s="43"/>
      <c r="B22" s="15" t="s">
        <v>35</v>
      </c>
      <c r="C22" s="16">
        <v>1</v>
      </c>
      <c r="D22" s="16">
        <v>1</v>
      </c>
      <c r="E22" s="16">
        <v>1</v>
      </c>
      <c r="F22" s="16">
        <v>1</v>
      </c>
      <c r="G22" s="29">
        <v>1</v>
      </c>
    </row>
    <row r="23" spans="1:7" x14ac:dyDescent="0.25">
      <c r="A23" s="34"/>
      <c r="B23" s="20" t="s">
        <v>36</v>
      </c>
      <c r="C23" s="21">
        <v>1</v>
      </c>
      <c r="D23" s="21">
        <v>1</v>
      </c>
      <c r="E23" s="21">
        <v>1</v>
      </c>
      <c r="F23" s="21">
        <v>1</v>
      </c>
      <c r="G23" s="31">
        <v>1</v>
      </c>
    </row>
    <row r="25" spans="1:7" x14ac:dyDescent="0.25">
      <c r="A25" s="35" t="s">
        <v>41</v>
      </c>
      <c r="B25" s="33"/>
      <c r="C25" s="41" t="s">
        <v>30</v>
      </c>
      <c r="D25" s="41"/>
      <c r="E25" s="41"/>
      <c r="F25" s="41"/>
      <c r="G25" s="26"/>
    </row>
    <row r="26" spans="1:7" x14ac:dyDescent="0.25">
      <c r="A26" s="8" t="s">
        <v>42</v>
      </c>
      <c r="B26" s="10"/>
      <c r="C26" s="10" t="s">
        <v>32</v>
      </c>
      <c r="D26" s="10" t="s">
        <v>33</v>
      </c>
      <c r="E26" s="10" t="s">
        <v>34</v>
      </c>
      <c r="F26" s="10" t="s">
        <v>35</v>
      </c>
      <c r="G26" s="28" t="s">
        <v>36</v>
      </c>
    </row>
    <row r="27" spans="1:7" ht="12.75" customHeight="1" x14ac:dyDescent="0.25">
      <c r="A27" s="43" t="s">
        <v>37</v>
      </c>
      <c r="B27" s="15" t="s">
        <v>32</v>
      </c>
      <c r="C27" s="16">
        <v>0</v>
      </c>
      <c r="D27" s="16">
        <v>0</v>
      </c>
      <c r="E27" s="16">
        <v>0</v>
      </c>
      <c r="F27" s="16">
        <v>0</v>
      </c>
      <c r="G27" s="29">
        <v>0</v>
      </c>
    </row>
    <row r="28" spans="1:7" x14ac:dyDescent="0.25">
      <c r="A28" s="43"/>
      <c r="B28" s="15" t="s">
        <v>33</v>
      </c>
      <c r="C28" s="16">
        <v>0</v>
      </c>
      <c r="D28" s="16">
        <v>0</v>
      </c>
      <c r="E28" s="16">
        <v>0</v>
      </c>
      <c r="F28" s="16">
        <v>0</v>
      </c>
      <c r="G28" s="29">
        <v>0</v>
      </c>
    </row>
    <row r="29" spans="1:7" x14ac:dyDescent="0.25">
      <c r="A29" s="43"/>
      <c r="B29" s="15" t="s">
        <v>34</v>
      </c>
      <c r="C29" s="16">
        <v>0</v>
      </c>
      <c r="D29" s="16">
        <v>0</v>
      </c>
      <c r="E29" s="16">
        <v>0</v>
      </c>
      <c r="F29" s="16">
        <v>0</v>
      </c>
      <c r="G29" s="29">
        <v>0</v>
      </c>
    </row>
    <row r="30" spans="1:7" x14ac:dyDescent="0.25">
      <c r="A30" s="43"/>
      <c r="B30" s="15" t="s">
        <v>35</v>
      </c>
      <c r="C30" s="16">
        <v>0</v>
      </c>
      <c r="D30" s="16">
        <v>0</v>
      </c>
      <c r="E30" s="16">
        <v>0</v>
      </c>
      <c r="F30" s="16">
        <v>0</v>
      </c>
      <c r="G30" s="29">
        <v>0</v>
      </c>
    </row>
    <row r="31" spans="1:7" x14ac:dyDescent="0.25">
      <c r="A31" s="34"/>
      <c r="B31" s="20" t="s">
        <v>36</v>
      </c>
      <c r="C31" s="21">
        <v>0</v>
      </c>
      <c r="D31" s="21">
        <v>0</v>
      </c>
      <c r="E31" s="21">
        <v>0</v>
      </c>
      <c r="F31" s="21">
        <v>0</v>
      </c>
      <c r="G31" s="31">
        <v>0</v>
      </c>
    </row>
    <row r="33" spans="1:7" ht="26.4" x14ac:dyDescent="0.25">
      <c r="A33" s="35" t="s">
        <v>43</v>
      </c>
      <c r="B33" s="33"/>
      <c r="C33" s="41" t="s">
        <v>30</v>
      </c>
      <c r="D33" s="41"/>
      <c r="E33" s="41"/>
      <c r="F33" s="41"/>
      <c r="G33" s="26"/>
    </row>
    <row r="34" spans="1:7" x14ac:dyDescent="0.25">
      <c r="A34" s="10" t="s">
        <v>44</v>
      </c>
      <c r="B34" s="10"/>
      <c r="C34" s="10" t="s">
        <v>32</v>
      </c>
      <c r="D34" s="10" t="s">
        <v>33</v>
      </c>
      <c r="E34" s="10" t="s">
        <v>34</v>
      </c>
      <c r="F34" s="10" t="s">
        <v>35</v>
      </c>
      <c r="G34" s="28" t="s">
        <v>36</v>
      </c>
    </row>
    <row r="35" spans="1:7" ht="12.75" customHeight="1" x14ac:dyDescent="0.25">
      <c r="A35" s="43" t="s">
        <v>37</v>
      </c>
      <c r="B35" s="15" t="s">
        <v>32</v>
      </c>
      <c r="C35" s="16">
        <v>0</v>
      </c>
      <c r="D35" s="16">
        <v>0</v>
      </c>
      <c r="E35" s="16">
        <v>0</v>
      </c>
      <c r="F35" s="16">
        <v>0</v>
      </c>
      <c r="G35" s="29">
        <v>0</v>
      </c>
    </row>
    <row r="36" spans="1:7" x14ac:dyDescent="0.25">
      <c r="A36" s="43"/>
      <c r="B36" s="15" t="s">
        <v>33</v>
      </c>
      <c r="C36" s="16">
        <v>0.1</v>
      </c>
      <c r="D36" s="16">
        <v>0</v>
      </c>
      <c r="E36" s="16">
        <v>0.9</v>
      </c>
      <c r="F36" s="16">
        <v>0</v>
      </c>
      <c r="G36" s="29">
        <v>0</v>
      </c>
    </row>
    <row r="37" spans="1:7" x14ac:dyDescent="0.25">
      <c r="A37" s="43"/>
      <c r="B37" s="15" t="s">
        <v>34</v>
      </c>
      <c r="C37" s="16">
        <v>0</v>
      </c>
      <c r="D37" s="16">
        <v>0</v>
      </c>
      <c r="E37" s="16">
        <v>0</v>
      </c>
      <c r="F37" s="16">
        <v>0</v>
      </c>
      <c r="G37" s="29">
        <v>0</v>
      </c>
    </row>
    <row r="38" spans="1:7" x14ac:dyDescent="0.25">
      <c r="A38" s="43"/>
      <c r="B38" s="15" t="s">
        <v>35</v>
      </c>
      <c r="C38" s="16">
        <v>0</v>
      </c>
      <c r="D38" s="16">
        <v>0</v>
      </c>
      <c r="E38" s="16">
        <v>0</v>
      </c>
      <c r="F38" s="16">
        <v>0</v>
      </c>
      <c r="G38" s="29">
        <v>0</v>
      </c>
    </row>
    <row r="39" spans="1:7" x14ac:dyDescent="0.25">
      <c r="A39" s="34"/>
      <c r="B39" s="20" t="s">
        <v>36</v>
      </c>
      <c r="C39" s="21">
        <v>0</v>
      </c>
      <c r="D39" s="21">
        <v>0</v>
      </c>
      <c r="E39" s="21">
        <v>0</v>
      </c>
      <c r="F39" s="21">
        <v>0</v>
      </c>
      <c r="G39" s="31">
        <v>0</v>
      </c>
    </row>
    <row r="42" spans="1:7" x14ac:dyDescent="0.25">
      <c r="A42" s="36" t="s">
        <v>29</v>
      </c>
    </row>
  </sheetData>
  <mergeCells count="10">
    <mergeCell ref="A19:A22"/>
    <mergeCell ref="C25:F25"/>
    <mergeCell ref="A27:A30"/>
    <mergeCell ref="C33:F33"/>
    <mergeCell ref="A35:A38"/>
    <mergeCell ref="F1:H1"/>
    <mergeCell ref="J1:K1"/>
    <mergeCell ref="C9:F9"/>
    <mergeCell ref="A11:A14"/>
    <mergeCell ref="C17:F17"/>
  </mergeCells>
  <pageMargins left="0.7" right="0.7" top="0.75" bottom="0.75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Initial Pop</vt:lpstr>
      <vt:lpstr>Breeding &amp; Fall</vt:lpstr>
      <vt:lpstr>Winter &amp; Spring</vt:lpstr>
      <vt:lpstr>Spring Stopover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Sample</dc:creator>
  <dc:description/>
  <cp:lastModifiedBy>Mattsson Brady</cp:lastModifiedBy>
  <cp:revision>34</cp:revision>
  <cp:lastPrinted>2016-01-27T22:26:48Z</cp:lastPrinted>
  <dcterms:created xsi:type="dcterms:W3CDTF">2016-01-28T18:57:58Z</dcterms:created>
  <dcterms:modified xsi:type="dcterms:W3CDTF">2026-05-08T13:25:23Z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