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4_Integrated\"/>
    </mc:Choice>
  </mc:AlternateContent>
  <xr:revisionPtr revIDLastSave="0" documentId="13_ncr:1_{4C759679-87DF-4B25-AE54-97741A18F20B}" xr6:coauthVersionLast="47" xr6:coauthVersionMax="47" xr10:uidLastSave="{00000000-0000-0000-0000-000000000000}"/>
  <bookViews>
    <workbookView xWindow="-108" yWindow="-108" windowWidth="23256" windowHeight="12456" tabRatio="988" activeTab="2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2" l="1"/>
  <c r="G20" i="2"/>
  <c r="G21" i="2"/>
  <c r="F21" i="2"/>
  <c r="F20" i="2"/>
  <c r="F19" i="2"/>
  <c r="E12" i="4"/>
  <c r="C12" i="4"/>
</calcChain>
</file>

<file path=xl/sharedStrings.xml><?xml version="1.0" encoding="utf-8"?>
<sst xmlns="http://schemas.openxmlformats.org/spreadsheetml/2006/main" count="260" uniqueCount="45">
  <si>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</si>
  <si>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</si>
  <si>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</si>
  <si>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</si>
  <si>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</si>
  <si>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</si>
  <si>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</si>
  <si>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</si>
  <si>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Juvenile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</si>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</sst>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32040</xdr:rowOff>
    </xdr:from>
    <xdr:to>
      <xdr:col>13</xdr:col>
      <xdr:colOff>636480</xdr:colOff>
      <xdr:row>18</xdr:row>
      <xdr:rowOff>34560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Kmale = 0.125 kmale_juv=.275 </a:t>
          </a:r>
          <a:endParaRPr/>
        </a:p>
        <a:p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17280</xdr:rowOff>
    </xdr:from>
    <xdr:to>
      <xdr:col>13</xdr:col>
      <xdr:colOff>74520</xdr:colOff>
      <xdr:row>14</xdr:row>
      <xdr:rowOff>21240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pane xSplit="1" topLeftCell="B1" activePane="topRight" state="frozen"/>
      <selection pane="topRight" activeCell="C7" activeCellId="1" sqref="A42 C7"/>
    </sheetView>
  </sheetViews>
  <sheetFormatPr defaultRowHeight="13.2" x14ac:dyDescent="0.25"/>
  <cols>
    <col min="1" max="1025" width="14.44140625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1" t="s">
        <v>2</v>
      </c>
      <c r="B2" s="2">
        <v>0</v>
      </c>
    </row>
    <row r="3" spans="1:2" ht="15.75" customHeight="1" x14ac:dyDescent="0.25">
      <c r="A3" s="1" t="s">
        <v>3</v>
      </c>
      <c r="B3">
        <v>0</v>
      </c>
    </row>
    <row r="4" spans="1:2" ht="15.75" customHeight="1" x14ac:dyDescent="0.25">
      <c r="A4" s="1" t="s">
        <v>4</v>
      </c>
      <c r="B4">
        <v>0</v>
      </c>
    </row>
    <row r="5" spans="1:2" ht="15.75" customHeight="1" x14ac:dyDescent="0.25">
      <c r="A5" s="1" t="s">
        <v>5</v>
      </c>
      <c r="B5">
        <v>0</v>
      </c>
    </row>
    <row r="6" spans="1:2" ht="15.75" customHeight="1" x14ac:dyDescent="0.25">
      <c r="A6" s="1" t="s">
        <v>6</v>
      </c>
      <c r="B6">
        <v>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opLeftCell="G2" zoomScaleNormal="100" workbookViewId="0">
      <selection activeCell="H32" sqref="H32"/>
    </sheetView>
  </sheetViews>
  <sheetFormatPr defaultRowHeight="13.2" x14ac:dyDescent="0.25"/>
  <cols>
    <col min="1" max="1" width="19.6640625" style="3"/>
    <col min="2" max="16" width="9.6640625"/>
    <col min="17" max="1025" width="9.77734375"/>
  </cols>
  <sheetData>
    <row r="1" spans="1:17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39" t="s">
        <v>11</v>
      </c>
      <c r="G1" s="39"/>
      <c r="H1" s="39"/>
      <c r="I1" s="7" t="s">
        <v>12</v>
      </c>
      <c r="J1" s="39" t="s">
        <v>13</v>
      </c>
      <c r="K1" s="39"/>
      <c r="L1" s="7" t="s">
        <v>14</v>
      </c>
      <c r="M1" s="8" t="s">
        <v>15</v>
      </c>
      <c r="N1" s="3" t="s">
        <v>16</v>
      </c>
    </row>
    <row r="2" spans="1:17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  <c r="Q2" s="9"/>
    </row>
    <row r="3" spans="1:17" x14ac:dyDescent="0.25"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7" x14ac:dyDescent="0.25">
      <c r="B4" s="14" t="s">
        <v>3</v>
      </c>
      <c r="C4" s="15">
        <v>1</v>
      </c>
      <c r="D4">
        <v>3.2</v>
      </c>
      <c r="E4" s="1">
        <v>0</v>
      </c>
      <c r="F4" s="1">
        <v>-1000000</v>
      </c>
      <c r="G4" s="1">
        <v>-1000000</v>
      </c>
      <c r="H4" s="1">
        <v>-1000000</v>
      </c>
      <c r="I4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7" x14ac:dyDescent="0.25">
      <c r="B5" s="14" t="s">
        <v>4</v>
      </c>
      <c r="C5" s="15">
        <v>1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7" x14ac:dyDescent="0.25"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7" x14ac:dyDescent="0.25">
      <c r="A7" s="1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9" spans="1:17" x14ac:dyDescent="0.25">
      <c r="A9" s="4"/>
      <c r="B9" s="23"/>
      <c r="C9" s="40" t="s">
        <v>29</v>
      </c>
      <c r="D9" s="40"/>
      <c r="E9" s="40"/>
      <c r="F9" s="40"/>
      <c r="G9" s="24"/>
    </row>
    <row r="10" spans="1:17" x14ac:dyDescent="0.25">
      <c r="A10" s="25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7" ht="12.75" customHeight="1" x14ac:dyDescent="0.25">
      <c r="A11" s="41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0.9</v>
      </c>
      <c r="G11" s="27">
        <v>0.1</v>
      </c>
      <c r="L11" t="s">
        <v>37</v>
      </c>
    </row>
    <row r="12" spans="1:17" x14ac:dyDescent="0.25">
      <c r="A12" s="41"/>
      <c r="B12" s="14" t="s">
        <v>32</v>
      </c>
      <c r="C12" s="15">
        <v>0</v>
      </c>
      <c r="D12" s="15">
        <v>0</v>
      </c>
      <c r="E12" s="15">
        <v>0</v>
      </c>
      <c r="F12" s="15">
        <v>0.5</v>
      </c>
      <c r="G12" s="27">
        <v>0.5</v>
      </c>
    </row>
    <row r="13" spans="1:17" x14ac:dyDescent="0.25">
      <c r="A13" s="41"/>
      <c r="B13" s="14" t="s">
        <v>33</v>
      </c>
      <c r="C13" s="15">
        <v>0</v>
      </c>
      <c r="D13" s="15">
        <v>0</v>
      </c>
      <c r="E13" s="15">
        <v>0</v>
      </c>
      <c r="F13" s="15">
        <v>0.5</v>
      </c>
      <c r="G13" s="27">
        <v>0.5</v>
      </c>
    </row>
    <row r="14" spans="1:17" x14ac:dyDescent="0.25">
      <c r="A14" s="41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7" x14ac:dyDescent="0.25">
      <c r="A15" s="28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7" spans="1:9" x14ac:dyDescent="0.25">
      <c r="A17" s="30"/>
      <c r="B17" s="31"/>
      <c r="C17" s="40" t="s">
        <v>29</v>
      </c>
      <c r="D17" s="40"/>
      <c r="E17" s="40"/>
      <c r="F17" s="40"/>
      <c r="G17" s="24"/>
    </row>
    <row r="18" spans="1:9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  <c r="I18" s="9" t="s">
        <v>43</v>
      </c>
    </row>
    <row r="19" spans="1:9" ht="12.75" customHeight="1" x14ac:dyDescent="0.25">
      <c r="A19" s="38" t="s">
        <v>36</v>
      </c>
      <c r="B19" s="14" t="s">
        <v>31</v>
      </c>
      <c r="C19" s="15">
        <v>0</v>
      </c>
      <c r="D19" s="15">
        <v>0</v>
      </c>
      <c r="E19" s="15">
        <v>0</v>
      </c>
      <c r="F19" s="15">
        <f>0.8-$I$19</f>
        <v>0.84000000000000008</v>
      </c>
      <c r="G19" s="15">
        <f>0.75-$I$19</f>
        <v>0.79</v>
      </c>
      <c r="I19" s="15">
        <v>-0.04</v>
      </c>
    </row>
    <row r="20" spans="1:9" x14ac:dyDescent="0.25">
      <c r="A20" s="38"/>
      <c r="B20" s="14" t="s">
        <v>32</v>
      </c>
      <c r="C20" s="15">
        <v>0</v>
      </c>
      <c r="D20" s="15">
        <v>0</v>
      </c>
      <c r="E20" s="15">
        <v>0</v>
      </c>
      <c r="F20" s="15">
        <f>0.8-$I$19</f>
        <v>0.84000000000000008</v>
      </c>
      <c r="G20" s="15">
        <f>0.8-$I$19</f>
        <v>0.84000000000000008</v>
      </c>
    </row>
    <row r="21" spans="1:9" x14ac:dyDescent="0.25">
      <c r="A21" s="38"/>
      <c r="B21" s="14" t="s">
        <v>33</v>
      </c>
      <c r="C21" s="15">
        <v>0</v>
      </c>
      <c r="D21" s="15">
        <v>0</v>
      </c>
      <c r="E21" s="15">
        <v>0</v>
      </c>
      <c r="F21" s="15">
        <f>0.8-$I$19</f>
        <v>0.84000000000000008</v>
      </c>
      <c r="G21" s="15">
        <f>0.8-$I$19</f>
        <v>0.84000000000000008</v>
      </c>
    </row>
    <row r="22" spans="1:9" x14ac:dyDescent="0.25">
      <c r="A22" s="38"/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27">
        <v>0</v>
      </c>
    </row>
    <row r="23" spans="1:9" x14ac:dyDescent="0.25">
      <c r="A23" s="32"/>
      <c r="B23" s="18" t="s">
        <v>35</v>
      </c>
      <c r="C23" s="19">
        <v>0</v>
      </c>
      <c r="D23" s="19">
        <v>0</v>
      </c>
      <c r="E23" s="19">
        <v>0</v>
      </c>
      <c r="F23" s="19">
        <v>0</v>
      </c>
      <c r="G23" s="29">
        <v>0</v>
      </c>
    </row>
    <row r="25" spans="1:9" x14ac:dyDescent="0.25">
      <c r="A25" s="33" t="s">
        <v>39</v>
      </c>
      <c r="B25" s="31"/>
      <c r="C25" s="40" t="s">
        <v>29</v>
      </c>
      <c r="D25" s="40"/>
      <c r="E25" s="40"/>
      <c r="F25" s="40"/>
      <c r="G25" s="24"/>
    </row>
    <row r="26" spans="1:9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9" ht="12.75" customHeight="1" x14ac:dyDescent="0.25">
      <c r="A27" s="38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9" x14ac:dyDescent="0.25">
      <c r="A28" s="38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9" x14ac:dyDescent="0.25">
      <c r="A29" s="38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9" x14ac:dyDescent="0.25">
      <c r="A30" s="38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9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0" t="s">
        <v>29</v>
      </c>
      <c r="D33" s="40"/>
      <c r="E33" s="40"/>
      <c r="F33" s="40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8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8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8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8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A35:A38"/>
    <mergeCell ref="J1:K1"/>
    <mergeCell ref="C17:F17"/>
    <mergeCell ref="A19:A22"/>
    <mergeCell ref="C25:F25"/>
    <mergeCell ref="A27:A30"/>
    <mergeCell ref="C33:F33"/>
    <mergeCell ref="F1:H1"/>
    <mergeCell ref="C9:F9"/>
    <mergeCell ref="A11:A1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tabSelected="1" zoomScaleNormal="100" workbookViewId="0">
      <selection activeCell="P18" sqref="P18"/>
    </sheetView>
  </sheetViews>
  <sheetFormatPr defaultRowHeight="13.2" x14ac:dyDescent="0.25"/>
  <cols>
    <col min="1" max="1" width="19.6640625"/>
    <col min="2" max="1025" width="9.6640625"/>
  </cols>
  <sheetData>
    <row r="1" spans="1:14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39" t="s">
        <v>11</v>
      </c>
      <c r="G1" s="39"/>
      <c r="H1" s="39"/>
      <c r="I1" s="7" t="s">
        <v>12</v>
      </c>
      <c r="J1" s="39" t="s">
        <v>13</v>
      </c>
      <c r="K1" s="39"/>
      <c r="L1" s="7" t="s">
        <v>14</v>
      </c>
      <c r="M1" s="8" t="s">
        <v>15</v>
      </c>
      <c r="N1" s="3" t="s">
        <v>16</v>
      </c>
    </row>
    <row r="2" spans="1:14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</row>
    <row r="3" spans="1:14" x14ac:dyDescent="0.25">
      <c r="B3" s="14" t="s">
        <v>2</v>
      </c>
      <c r="C3" s="15">
        <v>0</v>
      </c>
      <c r="D3" s="15">
        <v>0</v>
      </c>
      <c r="E3" s="1">
        <v>0</v>
      </c>
      <c r="F3" s="1">
        <v>-1000000</v>
      </c>
      <c r="G3" s="1">
        <v>-1000000</v>
      </c>
      <c r="H3" s="1">
        <v>-1000000</v>
      </c>
      <c r="I3" s="1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4" x14ac:dyDescent="0.25">
      <c r="B4" s="14" t="s">
        <v>3</v>
      </c>
      <c r="C4" s="15">
        <v>0</v>
      </c>
      <c r="D4" s="15">
        <v>0</v>
      </c>
      <c r="E4" s="1">
        <v>0</v>
      </c>
      <c r="F4" s="1">
        <v>-1000000</v>
      </c>
      <c r="G4" s="1">
        <v>-1000000</v>
      </c>
      <c r="H4" s="1">
        <v>-1000000</v>
      </c>
      <c r="I4" s="1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4" x14ac:dyDescent="0.25">
      <c r="B5" s="14" t="s">
        <v>4</v>
      </c>
      <c r="C5" s="15">
        <v>0</v>
      </c>
      <c r="D5" s="15">
        <v>0</v>
      </c>
      <c r="E5" s="1">
        <v>0</v>
      </c>
      <c r="F5" s="1">
        <v>-1000000</v>
      </c>
      <c r="G5" s="1">
        <v>-1000000</v>
      </c>
      <c r="H5" s="1">
        <v>-1000000</v>
      </c>
      <c r="I5" s="1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4" x14ac:dyDescent="0.25">
      <c r="B6" s="14" t="s">
        <v>5</v>
      </c>
      <c r="C6" s="15">
        <v>0.9</v>
      </c>
      <c r="D6" s="15">
        <v>0</v>
      </c>
      <c r="E6" s="1">
        <v>0</v>
      </c>
      <c r="F6" s="1">
        <v>-1000000</v>
      </c>
      <c r="G6" s="1">
        <v>-1000000</v>
      </c>
      <c r="H6" s="1">
        <v>-1000000</v>
      </c>
      <c r="I6" s="1">
        <v>0</v>
      </c>
      <c r="J6" s="1">
        <v>4</v>
      </c>
      <c r="K6" s="1">
        <v>-1.5E-6</v>
      </c>
      <c r="L6">
        <v>0.96</v>
      </c>
      <c r="M6" s="16">
        <v>0.84</v>
      </c>
    </row>
    <row r="7" spans="1:14" x14ac:dyDescent="0.25">
      <c r="A7" s="20"/>
      <c r="B7" s="18" t="s">
        <v>6</v>
      </c>
      <c r="C7" s="19">
        <v>0.9</v>
      </c>
      <c r="D7" s="19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1">
        <v>0</v>
      </c>
      <c r="J7" s="21">
        <v>3</v>
      </c>
      <c r="K7" s="21">
        <v>-1.5E-6</v>
      </c>
      <c r="L7" s="20">
        <v>0.96</v>
      </c>
      <c r="M7" s="22">
        <v>0.84</v>
      </c>
    </row>
    <row r="9" spans="1:14" x14ac:dyDescent="0.25">
      <c r="A9" s="31"/>
      <c r="B9" s="31"/>
      <c r="C9" s="40" t="s">
        <v>29</v>
      </c>
      <c r="D9" s="40"/>
      <c r="E9" s="40"/>
      <c r="F9" s="40"/>
      <c r="G9" s="24"/>
    </row>
    <row r="10" spans="1:14" x14ac:dyDescent="0.25">
      <c r="A10" s="9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4" x14ac:dyDescent="0.25">
      <c r="A11" s="42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4" x14ac:dyDescent="0.25">
      <c r="A12" s="42"/>
      <c r="B12" s="14" t="s">
        <v>32</v>
      </c>
      <c r="C12" s="15">
        <v>0</v>
      </c>
      <c r="D12" s="15">
        <v>0</v>
      </c>
      <c r="E12" s="15">
        <v>0</v>
      </c>
      <c r="F12" s="15">
        <v>0</v>
      </c>
      <c r="G12" s="27">
        <v>0</v>
      </c>
    </row>
    <row r="13" spans="1:14" x14ac:dyDescent="0.25">
      <c r="A13" s="42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4" x14ac:dyDescent="0.25">
      <c r="A14" s="42"/>
      <c r="B14" s="14" t="s">
        <v>34</v>
      </c>
      <c r="C14" s="15">
        <v>0.54</v>
      </c>
      <c r="D14" s="15">
        <v>0.46</v>
      </c>
      <c r="E14" s="15">
        <v>0</v>
      </c>
      <c r="F14" s="15">
        <v>0</v>
      </c>
      <c r="G14" s="27">
        <v>0</v>
      </c>
    </row>
    <row r="15" spans="1:14" x14ac:dyDescent="0.25">
      <c r="A15" s="35"/>
      <c r="B15" s="18" t="s">
        <v>35</v>
      </c>
      <c r="C15" s="19">
        <v>0.1</v>
      </c>
      <c r="D15" s="19">
        <v>0.9</v>
      </c>
      <c r="E15" s="19">
        <v>0</v>
      </c>
      <c r="F15" s="19">
        <v>0</v>
      </c>
      <c r="G15" s="29">
        <v>0</v>
      </c>
    </row>
    <row r="16" spans="1:14" x14ac:dyDescent="0.25">
      <c r="A16" s="9"/>
      <c r="B16" s="9"/>
    </row>
    <row r="17" spans="1:7" x14ac:dyDescent="0.25">
      <c r="A17" s="23"/>
      <c r="B17" s="23"/>
      <c r="C17" s="40" t="s">
        <v>29</v>
      </c>
      <c r="D17" s="40"/>
      <c r="E17" s="40"/>
      <c r="F17" s="40"/>
      <c r="G17" s="24"/>
    </row>
    <row r="18" spans="1:7" x14ac:dyDescent="0.25">
      <c r="A18" s="9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x14ac:dyDescent="0.25">
      <c r="A19" s="42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42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42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42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6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5" spans="1:7" x14ac:dyDescent="0.25">
      <c r="A25" s="33" t="s">
        <v>39</v>
      </c>
      <c r="B25" s="31"/>
      <c r="C25" s="40" t="s">
        <v>29</v>
      </c>
      <c r="D25" s="40"/>
      <c r="E25" s="40"/>
      <c r="F25" s="40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8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8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8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8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2" spans="1:7" x14ac:dyDescent="0.25">
      <c r="A32" s="3"/>
    </row>
    <row r="33" spans="1:7" ht="26.4" x14ac:dyDescent="0.25">
      <c r="A33" s="33" t="s">
        <v>41</v>
      </c>
      <c r="B33" s="31"/>
      <c r="C33" s="40" t="s">
        <v>29</v>
      </c>
      <c r="D33" s="40"/>
      <c r="E33" s="40"/>
      <c r="F33" s="40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8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8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8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8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Normal="100" workbookViewId="0">
      <selection activeCell="F1" sqref="F1:G7"/>
    </sheetView>
  </sheetViews>
  <sheetFormatPr defaultRowHeight="13.2" x14ac:dyDescent="0.25"/>
  <cols>
    <col min="1" max="1" width="19.6640625" style="3"/>
    <col min="2" max="1025" width="9.6640625"/>
  </cols>
  <sheetData>
    <row r="1" spans="1:16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39" t="s">
        <v>11</v>
      </c>
      <c r="G1" s="39"/>
      <c r="H1" s="39"/>
      <c r="I1" s="7" t="s">
        <v>12</v>
      </c>
      <c r="J1" s="39" t="s">
        <v>13</v>
      </c>
      <c r="K1" s="39"/>
      <c r="L1" s="7" t="s">
        <v>14</v>
      </c>
      <c r="M1" s="8" t="s">
        <v>15</v>
      </c>
      <c r="N1" s="3" t="s">
        <v>16</v>
      </c>
    </row>
    <row r="2" spans="1:16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</row>
    <row r="3" spans="1:16" x14ac:dyDescent="0.25">
      <c r="A3"/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6" x14ac:dyDescent="0.25">
      <c r="A4"/>
      <c r="B4" s="14" t="s">
        <v>3</v>
      </c>
      <c r="C4" s="15">
        <v>1</v>
      </c>
      <c r="D4">
        <v>3.2</v>
      </c>
      <c r="E4" s="1">
        <v>0</v>
      </c>
      <c r="F4" s="1">
        <v>-3</v>
      </c>
      <c r="G4" s="1">
        <v>9.9999999999999995E-7</v>
      </c>
      <c r="H4" s="1">
        <v>0.1</v>
      </c>
      <c r="I4">
        <v>0.7</v>
      </c>
      <c r="J4" s="1">
        <v>-1000000</v>
      </c>
      <c r="K4" s="1">
        <v>-1000000</v>
      </c>
      <c r="L4">
        <v>0</v>
      </c>
      <c r="M4" s="16">
        <v>0</v>
      </c>
    </row>
    <row r="5" spans="1:16" x14ac:dyDescent="0.25">
      <c r="A5"/>
      <c r="B5" s="14" t="s">
        <v>4</v>
      </c>
      <c r="C5" s="15">
        <v>0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6" x14ac:dyDescent="0.25">
      <c r="A6"/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6" x14ac:dyDescent="0.25">
      <c r="A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8" spans="1:16" x14ac:dyDescent="0.25">
      <c r="A8"/>
      <c r="E8" s="15"/>
    </row>
    <row r="9" spans="1:16" x14ac:dyDescent="0.25">
      <c r="A9" s="31"/>
      <c r="B9" s="31"/>
      <c r="C9" s="40" t="s">
        <v>29</v>
      </c>
      <c r="D9" s="40"/>
      <c r="E9" s="40"/>
      <c r="F9" s="40"/>
      <c r="G9" s="24"/>
    </row>
    <row r="10" spans="1:16" x14ac:dyDescent="0.25">
      <c r="A10" s="7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6" ht="12.75" customHeight="1" x14ac:dyDescent="0.25">
      <c r="A11" s="38" t="s">
        <v>36</v>
      </c>
      <c r="B11" s="14" t="s">
        <v>31</v>
      </c>
      <c r="C11" s="15">
        <v>1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6" x14ac:dyDescent="0.25">
      <c r="A12" s="38"/>
      <c r="B12" s="14" t="s">
        <v>32</v>
      </c>
      <c r="C12" s="15">
        <f>0.7*0.1</f>
        <v>6.9999999999999993E-2</v>
      </c>
      <c r="D12" s="15">
        <v>0.3</v>
      </c>
      <c r="E12" s="15">
        <f>0.7*0.9</f>
        <v>0.63</v>
      </c>
      <c r="F12" s="15">
        <v>0</v>
      </c>
      <c r="G12" s="27">
        <v>0</v>
      </c>
    </row>
    <row r="13" spans="1:16" x14ac:dyDescent="0.25">
      <c r="A13" s="38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6" x14ac:dyDescent="0.25">
      <c r="A14" s="38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6" x14ac:dyDescent="0.25">
      <c r="A15" s="37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6" spans="1:16" x14ac:dyDescent="0.25">
      <c r="A16" s="9"/>
      <c r="B16" s="9"/>
    </row>
    <row r="17" spans="1:7" x14ac:dyDescent="0.25">
      <c r="A17" s="23"/>
      <c r="B17" s="23"/>
      <c r="C17" s="40" t="s">
        <v>29</v>
      </c>
      <c r="D17" s="40"/>
      <c r="E17" s="40"/>
      <c r="F17" s="40"/>
      <c r="G17" s="24"/>
    </row>
    <row r="18" spans="1:7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ht="12.75" customHeight="1" x14ac:dyDescent="0.25">
      <c r="A19" s="38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38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38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38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2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4" spans="1:7" x14ac:dyDescent="0.25">
      <c r="A24"/>
    </row>
    <row r="25" spans="1:7" x14ac:dyDescent="0.25">
      <c r="A25" s="33" t="s">
        <v>39</v>
      </c>
      <c r="B25" s="31"/>
      <c r="C25" s="40" t="s">
        <v>29</v>
      </c>
      <c r="D25" s="40"/>
      <c r="E25" s="40"/>
      <c r="F25" s="40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8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8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8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8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0" t="s">
        <v>29</v>
      </c>
      <c r="D33" s="40"/>
      <c r="E33" s="40"/>
      <c r="F33" s="40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8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8"/>
      <c r="B36" s="14" t="s">
        <v>32</v>
      </c>
      <c r="C36" s="15">
        <v>0.1</v>
      </c>
      <c r="D36" s="15">
        <v>0</v>
      </c>
      <c r="E36" s="15">
        <v>0.9</v>
      </c>
      <c r="F36" s="15">
        <v>0</v>
      </c>
      <c r="G36" s="27">
        <v>0</v>
      </c>
    </row>
    <row r="37" spans="1:7" x14ac:dyDescent="0.25">
      <c r="A37" s="38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8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Mattsson Brady</cp:lastModifiedBy>
  <cp:revision>35</cp:revision>
  <cp:lastPrinted>2016-01-27T22:26:48Z</cp:lastPrinted>
  <dcterms:created xsi:type="dcterms:W3CDTF">2016-01-28T18:57:58Z</dcterms:created>
  <dcterms:modified xsi:type="dcterms:W3CDTF">2026-05-08T13:25:21Z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