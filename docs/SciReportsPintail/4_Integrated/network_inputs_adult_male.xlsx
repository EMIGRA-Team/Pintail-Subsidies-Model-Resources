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FinalCodePintails\BaselineDynSub\"/>
    </mc:Choice>
  </mc:AlternateContent>
  <xr:revisionPtr revIDLastSave="0" documentId="13_ncr:1_{0BA3F514-DCBA-43AE-AD3B-58DEFC8CAA93}" xr6:coauthVersionLast="47" xr6:coauthVersionMax="47" xr10:uidLastSave="{00000000-0000-0000-0000-000000000000}"/>
  <bookViews>
    <workbookView xWindow="-108" yWindow="-108" windowWidth="23256" windowHeight="12456" tabRatio="988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G21" i="2"/>
  <c r="F21" i="2"/>
  <c r="G20" i="2"/>
  <c r="F20" i="2"/>
  <c r="G19" i="2"/>
  <c r="F19" i="2"/>
  <c r="E12" i="4" l="1"/>
  <c r="C12" i="4"/>
</calcChain>
</file>

<file path=xl/sharedStrings.xml><?xml version="1.0" encoding="utf-8"?>
<sst xmlns="http://schemas.openxmlformats.org/spreadsheetml/2006/main" count="260" uniqueCount="45">
  <si>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</si>
  <si>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</si>
  <si>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</si>
  <si>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</si>
  <si>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</si>
  <si>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</si>
  <si>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</si>
  <si>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</si>
  <si>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Adult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</si>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</sst>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11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32760</xdr:rowOff>
    </xdr:from>
    <xdr:to>
      <xdr:col>13</xdr:col>
      <xdr:colOff>636480</xdr:colOff>
      <xdr:row>18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117720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Kmale = 0.125</a:t>
          </a:r>
          <a:r>
            <a:rPr lang="en-US" sz="1200" strike="noStrike">
              <a:solidFill>
                <a:srgbClr val="000000"/>
              </a:solidFill>
              <a:latin typeface="Calibri"/>
            </a:rPr>
            <a:t> </a:t>
          </a:r>
          <a:r>
            <a:rPr lang="en-US" sz="1100" strike="noStrike">
              <a:solidFill>
                <a:srgbClr val="000000"/>
              </a:solidFill>
              <a:latin typeface="Calibri"/>
            </a:rPr>
            <a:t>kmale_juv=.275</a:t>
          </a:r>
          <a:r>
            <a:rPr lang="en-US" sz="1200" strike="noStrike">
              <a:solidFill>
                <a:srgbClr val="000000"/>
              </a:solidFill>
              <a:latin typeface="Calibri"/>
            </a:rPr>
            <a:t> </a:t>
          </a:r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17280</xdr:rowOff>
    </xdr:from>
    <xdr:to>
      <xdr:col>13</xdr:col>
      <xdr:colOff>74520</xdr:colOff>
      <xdr:row>14</xdr:row>
      <xdr:rowOff>20520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pane xSplit="1" topLeftCell="B1" activePane="topRight" state="frozen"/>
      <selection pane="topRight" activeCell="B2" sqref="B2:B4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f>0.5*0.4052288*4000000</f>
        <v>810457.59999999998</v>
      </c>
    </row>
    <row r="3" spans="1:2" ht="15.75" customHeight="1" x14ac:dyDescent="0.25">
      <c r="A3" s="1" t="s">
        <v>3</v>
      </c>
      <c r="B3">
        <f>0.5*(1-0.4052288)*4000000*45/60</f>
        <v>892156.80000000016</v>
      </c>
    </row>
    <row r="4" spans="1:2" ht="15.75" customHeight="1" x14ac:dyDescent="0.25">
      <c r="A4" s="1" t="s">
        <v>4</v>
      </c>
      <c r="B4">
        <f>0.5*(1-0.4052288)*4000000*(1-45/60)</f>
        <v>297385.60000000003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  <row r="12" spans="1:2" x14ac:dyDescent="0.25">
      <c r="B12" s="2"/>
    </row>
    <row r="13" spans="1:2" x14ac:dyDescent="0.25">
      <c r="B13" s="38"/>
    </row>
    <row r="14" spans="1:2" x14ac:dyDescent="0.25">
      <c r="B14" s="38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topLeftCell="B1" zoomScaleNormal="100" workbookViewId="0">
      <selection activeCell="J14" sqref="J14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1" t="s">
        <v>11</v>
      </c>
      <c r="G1" s="41"/>
      <c r="H1" s="41"/>
      <c r="I1" s="7" t="s">
        <v>12</v>
      </c>
      <c r="J1" s="41" t="s">
        <v>13</v>
      </c>
      <c r="K1" s="41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0.98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0.96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0.98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39" t="s">
        <v>29</v>
      </c>
      <c r="D9" s="39"/>
      <c r="E9" s="39"/>
      <c r="F9" s="39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0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0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0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0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9" x14ac:dyDescent="0.25">
      <c r="A17" s="30"/>
      <c r="B17" s="31"/>
      <c r="C17" s="39" t="s">
        <v>29</v>
      </c>
      <c r="D17" s="39"/>
      <c r="E17" s="39"/>
      <c r="F17" s="39"/>
      <c r="G17" s="24"/>
    </row>
    <row r="18" spans="1:9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9" ht="12.75" customHeight="1" x14ac:dyDescent="0.25">
      <c r="A19" s="42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0.9-$I$19</f>
        <v>0.94000000000000006</v>
      </c>
      <c r="G19" s="15">
        <f>0.85-$I$19</f>
        <v>0.89</v>
      </c>
      <c r="I19" s="15">
        <v>-0.04</v>
      </c>
    </row>
    <row r="20" spans="1:9" x14ac:dyDescent="0.25">
      <c r="A20" s="42"/>
      <c r="B20" s="14" t="s">
        <v>32</v>
      </c>
      <c r="C20" s="15">
        <v>0</v>
      </c>
      <c r="D20" s="15">
        <v>0</v>
      </c>
      <c r="E20" s="15">
        <v>0</v>
      </c>
      <c r="F20" s="15">
        <f>0.9-$I$19</f>
        <v>0.94000000000000006</v>
      </c>
      <c r="G20" s="15">
        <f>0.9-$I$19</f>
        <v>0.94000000000000006</v>
      </c>
    </row>
    <row r="21" spans="1:9" x14ac:dyDescent="0.25">
      <c r="A21" s="42"/>
      <c r="B21" s="14" t="s">
        <v>33</v>
      </c>
      <c r="C21" s="15">
        <v>0</v>
      </c>
      <c r="D21" s="15">
        <v>0</v>
      </c>
      <c r="E21" s="15">
        <v>0</v>
      </c>
      <c r="F21" s="15">
        <f>0.9-$I$19</f>
        <v>0.94000000000000006</v>
      </c>
      <c r="G21" s="15">
        <f>0.9-$I$19</f>
        <v>0.94000000000000006</v>
      </c>
    </row>
    <row r="22" spans="1:9" x14ac:dyDescent="0.25">
      <c r="A22" s="42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9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9" x14ac:dyDescent="0.25">
      <c r="A25" s="33" t="s">
        <v>39</v>
      </c>
      <c r="B25" s="31"/>
      <c r="C25" s="39" t="s">
        <v>29</v>
      </c>
      <c r="D25" s="39"/>
      <c r="E25" s="39"/>
      <c r="F25" s="39"/>
      <c r="G25" s="24"/>
    </row>
    <row r="26" spans="1:9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9" ht="12.75" customHeight="1" x14ac:dyDescent="0.25">
      <c r="A27" s="42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</row>
    <row r="28" spans="1:9" x14ac:dyDescent="0.25">
      <c r="A28" s="42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9" x14ac:dyDescent="0.25">
      <c r="A29" s="42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9" x14ac:dyDescent="0.25">
      <c r="A30" s="42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9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39" t="s">
        <v>29</v>
      </c>
      <c r="D33" s="39"/>
      <c r="E33" s="39"/>
      <c r="F33" s="39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42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42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42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42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C9:F9"/>
    <mergeCell ref="A11:A14"/>
    <mergeCell ref="F1:H1"/>
    <mergeCell ref="J1:K1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Normal="100" workbookViewId="0">
      <selection activeCell="J8" sqref="J8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1" t="s">
        <v>11</v>
      </c>
      <c r="G1" s="41"/>
      <c r="H1" s="41"/>
      <c r="I1" s="7" t="s">
        <v>12</v>
      </c>
      <c r="J1" s="41" t="s">
        <v>13</v>
      </c>
      <c r="K1" s="41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39" t="s">
        <v>29</v>
      </c>
      <c r="D9" s="39"/>
      <c r="E9" s="39"/>
      <c r="F9" s="39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3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3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3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3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7" x14ac:dyDescent="0.25">
      <c r="A17" s="23"/>
      <c r="B17" s="23"/>
      <c r="C17" s="39" t="s">
        <v>29</v>
      </c>
      <c r="D17" s="39"/>
      <c r="E17" s="39"/>
      <c r="F17" s="39"/>
      <c r="G17" s="24"/>
    </row>
    <row r="18" spans="1:7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x14ac:dyDescent="0.25">
      <c r="A19" s="43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3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3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3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7" x14ac:dyDescent="0.25">
      <c r="A25" s="33" t="s">
        <v>39</v>
      </c>
      <c r="B25" s="31"/>
      <c r="C25" s="39" t="s">
        <v>29</v>
      </c>
      <c r="D25" s="39"/>
      <c r="E25" s="39"/>
      <c r="F25" s="39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42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42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42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42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7" x14ac:dyDescent="0.25">
      <c r="A32" s="3"/>
    </row>
    <row r="33" spans="1:7" ht="26.4" x14ac:dyDescent="0.25">
      <c r="A33" s="33" t="s">
        <v>41</v>
      </c>
      <c r="B33" s="31"/>
      <c r="C33" s="39" t="s">
        <v>29</v>
      </c>
      <c r="D33" s="39"/>
      <c r="E33" s="39"/>
      <c r="F33" s="39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42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42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42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42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topLeftCell="A2" zoomScaleNormal="100" workbookViewId="0">
      <selection activeCell="G4" sqref="G4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1" t="s">
        <v>11</v>
      </c>
      <c r="G1" s="41"/>
      <c r="H1" s="41"/>
      <c r="I1" s="7" t="s">
        <v>12</v>
      </c>
      <c r="J1" s="41" t="s">
        <v>13</v>
      </c>
      <c r="K1" s="41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39" t="s">
        <v>29</v>
      </c>
      <c r="D9" s="39"/>
      <c r="E9" s="39"/>
      <c r="F9" s="39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42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42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42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39" t="s">
        <v>29</v>
      </c>
      <c r="D17" s="39"/>
      <c r="E17" s="39"/>
      <c r="F17" s="39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42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2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2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2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39" t="s">
        <v>29</v>
      </c>
      <c r="D25" s="39"/>
      <c r="E25" s="39"/>
      <c r="F25" s="39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42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42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42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42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39" t="s">
        <v>29</v>
      </c>
      <c r="D33" s="39"/>
      <c r="E33" s="39"/>
      <c r="F33" s="39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42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42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42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42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33</cp:revision>
  <cp:lastPrinted>2016-01-27T22:26:48Z</cp:lastPrinted>
  <dcterms:created xsi:type="dcterms:W3CDTF">2016-01-28T18:57:58Z</dcterms:created>
  <dcterms:modified xsi:type="dcterms:W3CDTF">2026-05-01T10:56:58Z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